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ddiec/Library/CloudStorage/GoogleDrive-totem1997@gmail.com/My Drive/Business/ClearLED/01_Vendors/LED/"/>
    </mc:Choice>
  </mc:AlternateContent>
  <xr:revisionPtr revIDLastSave="0" documentId="8_{1540C3E2-1CF1-2F4D-B8DF-647542889159}" xr6:coauthVersionLast="47" xr6:coauthVersionMax="47" xr10:uidLastSave="{00000000-0000-0000-0000-000000000000}"/>
  <bookViews>
    <workbookView xWindow="-5120" yWindow="-28180" windowWidth="51200" windowHeight="28180" xr2:uid="{00000000-000D-0000-FFFF-FFFF00000000}"/>
  </bookViews>
  <sheets>
    <sheet name="Reconstructed Table" sheetId="1" r:id="rId1"/>
    <sheet name="3.2mA Comparison" sheetId="2" r:id="rId2"/>
    <sheet name="Assum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C7" i="2"/>
  <c r="B7" i="2"/>
  <c r="F7" i="2" s="1"/>
  <c r="N7" i="2" s="1"/>
  <c r="L6" i="2"/>
  <c r="H6" i="2"/>
  <c r="O6" i="2" s="1"/>
  <c r="G6" i="2"/>
  <c r="F6" i="2"/>
  <c r="N6" i="2" s="1"/>
  <c r="C6" i="2"/>
  <c r="B6" i="2"/>
  <c r="E6" i="2" s="1"/>
  <c r="O5" i="2"/>
  <c r="N5" i="2"/>
  <c r="L5" i="2"/>
  <c r="H5" i="2"/>
  <c r="F5" i="2"/>
  <c r="E5" i="2"/>
  <c r="C5" i="2"/>
  <c r="B5" i="2"/>
  <c r="G5" i="2" s="1"/>
  <c r="K23" i="1"/>
  <c r="H23" i="1"/>
  <c r="E23" i="1"/>
  <c r="K22" i="1"/>
  <c r="H22" i="1"/>
  <c r="E22" i="1"/>
  <c r="K21" i="1"/>
  <c r="H21" i="1"/>
  <c r="E21" i="1"/>
  <c r="D6" i="2" l="1"/>
  <c r="G7" i="2"/>
  <c r="H7" i="2"/>
  <c r="O7" i="2" s="1"/>
  <c r="D5" i="2"/>
  <c r="D7" i="2"/>
  <c r="E7" i="2"/>
  <c r="M7" i="2" l="1"/>
  <c r="I7" i="2"/>
  <c r="J7" i="2" s="1"/>
  <c r="M5" i="2"/>
  <c r="I5" i="2"/>
  <c r="J5" i="2" s="1"/>
  <c r="I6" i="2"/>
  <c r="J6" i="2" s="1"/>
  <c r="M6" i="2"/>
</calcChain>
</file>

<file path=xl/sharedStrings.xml><?xml version="1.0" encoding="utf-8"?>
<sst xmlns="http://schemas.openxmlformats.org/spreadsheetml/2006/main" count="198" uniqueCount="132">
  <si>
    <t>Parameter</t>
  </si>
  <si>
    <t>NationStar
TBC-T2020M-J6I16</t>
  </si>
  <si>
    <t>NationStar
Compared @ 3.2 mA</t>
  </si>
  <si>
    <t>Kinglight
2222-CB-B2-IC3</t>
  </si>
  <si>
    <t>Kinglight
Compared @ 3.2 mA</t>
  </si>
  <si>
    <t>Cxxx
OLY6D-FKC Series</t>
  </si>
  <si>
    <t>Cxxx
Compared @ 3.2 mA</t>
  </si>
  <si>
    <t>Notes</t>
  </si>
  <si>
    <t>Package Size (mm)</t>
  </si>
  <si>
    <t>2.2 × 2.2 × 1.02</t>
  </si>
  <si>
    <t>2.2 × 2.2 × 1.05</t>
  </si>
  <si>
    <t>2.8 × 2.8 × 2.5</t>
  </si>
  <si>
    <t>Typical Pitch Range</t>
  </si>
  <si>
    <t>—</t>
  </si>
  <si>
    <t>6 – 12 mm</t>
  </si>
  <si>
    <t>Viewing Angle</t>
  </si>
  <si>
    <t>110°</t>
  </si>
  <si>
    <t>120°</t>
  </si>
  <si>
    <t>Operating Temperature</t>
  </si>
  <si>
    <t>−40 ~ +85 °C</t>
  </si>
  <si>
    <t>−30 ~ +85 °C</t>
  </si>
  <si>
    <t>Storage Temperature</t>
  </si>
  <si>
    <t>−65 ~ +150 °C</t>
  </si>
  <si>
    <t>Moisture Sensitivity Level</t>
  </si>
  <si>
    <t>MSL3</t>
  </si>
  <si>
    <t>MSL5a</t>
  </si>
  <si>
    <t>Water Resistance</t>
  </si>
  <si>
    <t>IPX6 / IPX8</t>
  </si>
  <si>
    <t>Operating Voltage</t>
  </si>
  <si>
    <t>3.3 – 12 V</t>
  </si>
  <si>
    <t>3.0 – 5.5 V</t>
  </si>
  <si>
    <t>2.5 – 3.6 V</t>
  </si>
  <si>
    <t>Supply Voltage</t>
  </si>
  <si>
    <t>Data Rate (Max.)</t>
  </si>
  <si>
    <t>800 Kbps (up to 1.2 Mbps)</t>
  </si>
  <si>
    <t>800 Kbps (up to 1.0 Mbps)</t>
  </si>
  <si>
    <t>3 Mbps</t>
  </si>
  <si>
    <t>Bit Rate</t>
  </si>
  <si>
    <t>PWM / Color Depth</t>
  </si>
  <si>
    <t>16-bit PWM per channel</t>
  </si>
  <si>
    <t>Not specified</t>
  </si>
  <si>
    <t>24-bit per channel (72-bit total)</t>
  </si>
  <si>
    <t>Higher = smoother</t>
  </si>
  <si>
    <t>Maximum Refresh Rate</t>
  </si>
  <si>
    <t>11,800 Hz</t>
  </si>
  <si>
    <t>Gray Scale</t>
  </si>
  <si>
    <t>16-bit (65,536 levels)</t>
  </si>
  <si>
    <t>24-bit (16.7M levels)</t>
  </si>
  <si>
    <t>Per channel</t>
  </si>
  <si>
    <t>Maximum String Length</t>
  </si>
  <si>
    <t>500 pcs @800Kbps (30Hz)</t>
  </si>
  <si>
    <t>&gt;4000 pixel</t>
  </si>
  <si>
    <t>Bidirectional Communication</t>
  </si>
  <si>
    <t>Yes (DI0 / DI1)</t>
  </si>
  <si>
    <t>Yes (DI / BI backup)</t>
  </si>
  <si>
    <t>Yes</t>
  </si>
  <si>
    <t>Output Current Range</t>
  </si>
  <si>
    <t>0.2 – 3.2 mA (16 levels)</t>
  </si>
  <si>
    <t>Selectable currents</t>
  </si>
  <si>
    <t>Maximum Output Current (per channel)</t>
  </si>
  <si>
    <t>3.2 mA</t>
  </si>
  <si>
    <t>Optical Test Current</t>
  </si>
  <si>
    <t>3.53 mA</t>
  </si>
  <si>
    <t>8 mA</t>
  </si>
  <si>
    <t>Condition for optical data</t>
  </si>
  <si>
    <t>Luminous Intensity — Red</t>
  </si>
  <si>
    <t>86 – 130 mcd @ 3.2 mA</t>
  </si>
  <si>
    <t>90 – 180 mcd @ 3.53 mA</t>
  </si>
  <si>
    <t>403 – 635 mcd @ 8 mA</t>
  </si>
  <si>
    <t>Typical Min ~ Max</t>
  </si>
  <si>
    <t>Luminous Intensity — Green</t>
  </si>
  <si>
    <t>325 – 489 mcd @ 3.2 mA</t>
  </si>
  <si>
    <t>320 – 600 mcd @ 3.53 mA</t>
  </si>
  <si>
    <t>1010 – 1600 mcd @ 8 mA</t>
  </si>
  <si>
    <t>Luminous Intensity — Blue</t>
  </si>
  <si>
    <t>66 – 100 mcd @ 3.2 mA</t>
  </si>
  <si>
    <t>70 – 125 mcd @ 3.53 mA</t>
  </si>
  <si>
    <t>224 – 355 mcd @ 8 mA</t>
  </si>
  <si>
    <t>Dominant Wavelength — Red</t>
  </si>
  <si>
    <t>618 – 623 nm @ 3.2 mA</t>
  </si>
  <si>
    <t>610 – 630 nm @ 3.53 mA</t>
  </si>
  <si>
    <t>619 – 624 nm @ 8 mA</t>
  </si>
  <si>
    <t>Color bin ranges</t>
  </si>
  <si>
    <t>Dominant Wavelength — Green</t>
  </si>
  <si>
    <t>524 – 528 nm @ 3.2 mA</t>
  </si>
  <si>
    <t>525 – 545 nm @ 3.53 mA</t>
  </si>
  <si>
    <t>522.5 – 540 nm @ 8 mA</t>
  </si>
  <si>
    <t>Dominant Wavelength — Blue</t>
  </si>
  <si>
    <t>469 – 474 nm @ 3.2 mA</t>
  </si>
  <si>
    <t>460 – 480 nm @ 3.53 mA</t>
  </si>
  <si>
    <t>465 – 480 nm @ 8 mA</t>
  </si>
  <si>
    <t>Junction Temperature (Tj)</t>
  </si>
  <si>
    <t>−40 ~ +125 °C</t>
  </si>
  <si>
    <t>Absolute Max. Supply Voltage</t>
  </si>
  <si>
    <t>12 V</t>
  </si>
  <si>
    <t>6 V</t>
  </si>
  <si>
    <t>3.6 V</t>
  </si>
  <si>
    <t>ESD Protection (HBM)</t>
  </si>
  <si>
    <t>4 kV</t>
  </si>
  <si>
    <t>2 kV</t>
  </si>
  <si>
    <t>Key Features (Highlights)</t>
  </si>
  <si>
    <t>16-bit PWM, 16-level current, OVP, EMS error monitoring, wide voltage (3.3–12 V)</t>
  </si>
  <si>
    <t>Dual data backup, long string support, low static current</t>
  </si>
  <si>
    <t>24-bit color, very high refresh rate, full set of advanced features (health monitor, CRC, gamma, etc.)</t>
  </si>
  <si>
    <t>Summary</t>
  </si>
  <si>
    <t>Luminous Intensity Normalized to 3.2 mA</t>
  </si>
  <si>
    <t>Linear scaling assumption. All Min/Max outputs reference the editable current on the Assumptions sheet.</t>
  </si>
  <si>
    <t>Color</t>
  </si>
  <si>
    <t>Reference Current</t>
  </si>
  <si>
    <t>NationStar Min</t>
  </si>
  <si>
    <t>NationStar Max</t>
  </si>
  <si>
    <t>Kinglight Min</t>
  </si>
  <si>
    <t>Kinglight Max</t>
  </si>
  <si>
    <t>Cxxx Min</t>
  </si>
  <si>
    <t>Cxxx Max</t>
  </si>
  <si>
    <t>Highest Normalized Max</t>
  </si>
  <si>
    <t>Leader</t>
  </si>
  <si>
    <t>Red</t>
  </si>
  <si>
    <t>Green</t>
  </si>
  <si>
    <t>Blue</t>
  </si>
  <si>
    <t>Normalization Assumptions</t>
  </si>
  <si>
    <t>Input</t>
  </si>
  <si>
    <t>Value</t>
  </si>
  <si>
    <t>Compared-at current (mA)</t>
  </si>
  <si>
    <t>Scaling assumption</t>
  </si>
  <si>
    <t>Linear luminous intensity vs. current</t>
  </si>
  <si>
    <t>Formula</t>
  </si>
  <si>
    <t>Normalized mcd = Original mcd × Compared-at current ÷ Original test current</t>
  </si>
  <si>
    <t>“32 mA” was interpreted as 3.2 mA because 3.2 mA is the lowest optical test current shown in the supplied image.</t>
  </si>
  <si>
    <t xml:space="preserve">−40 ~ +125 °C </t>
  </si>
  <si>
    <t>Cxxx bigger Package</t>
  </si>
  <si>
    <t>Date : 2026-0723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</si>
</sst>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name val="Carlito"/>
    </font>
    <font>
      <b/>
      <sz val="11"/>
      <color rgb="FFFFFFFF"/>
      <name val="Aptos"/>
    </font>
    <font>
      <b/>
      <sz val="10"/>
      <color rgb="FF172B4D"/>
      <name val="Aptos"/>
    </font>
    <font>
      <sz val="10"/>
      <color rgb="FF172B4D"/>
      <name val="Aptos"/>
    </font>
    <font>
      <b/>
      <sz val="10"/>
      <color rgb="FFC00000"/>
      <name val="Aptos"/>
    </font>
    <font>
      <b/>
      <sz val="10"/>
      <color rgb="FF008A31"/>
      <name val="Aptos"/>
    </font>
    <font>
      <b/>
      <sz val="10"/>
      <color rgb="FF0057B8"/>
      <name val="Aptos"/>
    </font>
    <font>
      <sz val="11"/>
      <name val="Aptos"/>
    </font>
    <font>
      <i/>
      <sz val="11"/>
      <color rgb="FF172B4D"/>
      <name val="Aptos"/>
    </font>
    <font>
      <sz val="16"/>
      <name val="Carlito"/>
    </font>
    <font>
      <b/>
      <sz val="16"/>
      <name val="Aptos"/>
    </font>
    <font>
      <sz val="16"/>
      <name val="Aptos"/>
    </font>
    <font>
      <sz val="16"/>
      <color theme="0"/>
      <name val="Aptos"/>
    </font>
    <font>
      <b/>
      <sz val="16"/>
      <color rgb="FFFF0000"/>
      <name val="Aptos"/>
    </font>
    <font>
      <b/>
      <sz val="16"/>
      <color rgb="FF92D050"/>
      <name val="Aptos"/>
    </font>
    <font>
      <b/>
      <sz val="16"/>
      <color rgb="FF0070C0"/>
      <name val="Aptos"/>
    </font>
  </fonts>
  <fills count="12">
    <fill>
      <patternFill patternType="none"/>
    </fill>
    <fill>
      <patternFill patternType="gray125"/>
    </fill>
    <fill>
      <patternFill patternType="solid">
        <fgColor rgb="FF003F83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EB6CE"/>
      </left>
      <right style="thin">
        <color rgb="FF9EB6CE"/>
      </right>
      <top style="thin">
        <color rgb="FF9EB6CE"/>
      </top>
      <bottom style="thin">
        <color rgb="FF9EB6CE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2" fontId="2" fillId="3" borderId="2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wrapText="1"/>
    </xf>
    <xf numFmtId="0" fontId="9" fillId="0" borderId="0" xfId="0" applyFont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0" fillId="10" borderId="0" xfId="0" applyFont="1" applyFill="1"/>
    <xf numFmtId="0" fontId="0" fillId="0" borderId="0" xfId="0" applyFont="1" applyFill="1"/>
    <xf numFmtId="0" fontId="0" fillId="10" borderId="0" xfId="0" applyFill="1"/>
    <xf numFmtId="0" fontId="9" fillId="10" borderId="0" xfId="0" applyFont="1" applyFill="1" applyAlignment="1">
      <alignment horizontal="center" vertical="center"/>
    </xf>
    <xf numFmtId="0" fontId="11" fillId="11" borderId="2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Normalized Maximum Luminous Intensity @ 3.2 mA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NationStar Max</c:v>
          </c:tx>
          <c:spPr>
            <a:solidFill>
              <a:srgbClr val="007A34"/>
            </a:solidFill>
          </c:spPr>
          <c:invertIfNegative val="1"/>
          <c:cat>
            <c:strRef>
              <c:f>'3.2mA Comparison'!$L$5:$L$7</c:f>
              <c:strCache>
                <c:ptCount val="3"/>
                <c:pt idx="0">
                  <c:v>Red</c:v>
                </c:pt>
                <c:pt idx="1">
                  <c:v>Green</c:v>
                </c:pt>
                <c:pt idx="2">
                  <c:v>Blue</c:v>
                </c:pt>
              </c:strCache>
            </c:strRef>
          </c:cat>
          <c:val>
            <c:numRef>
              <c:f>'3.2mA Comparison'!$M$5:$M$7</c:f>
              <c:numCache>
                <c:formatCode>0.0</c:formatCode>
                <c:ptCount val="3"/>
                <c:pt idx="0">
                  <c:v>130</c:v>
                </c:pt>
                <c:pt idx="1">
                  <c:v>489.00000000000006</c:v>
                </c:pt>
                <c:pt idx="2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956-F046-BE8C-032BA94F9EFB}"/>
            </c:ext>
          </c:extLst>
        </c:ser>
        <c:ser>
          <c:idx val="1"/>
          <c:order val="1"/>
          <c:tx>
            <c:v>Kinglight Max</c:v>
          </c:tx>
          <c:spPr>
            <a:solidFill>
              <a:srgbClr val="0757C8"/>
            </a:solidFill>
          </c:spPr>
          <c:invertIfNegative val="1"/>
          <c:cat>
            <c:strRef>
              <c:f>'3.2mA Comparison'!$L$5:$L$7</c:f>
              <c:strCache>
                <c:ptCount val="3"/>
                <c:pt idx="0">
                  <c:v>Red</c:v>
                </c:pt>
                <c:pt idx="1">
                  <c:v>Green</c:v>
                </c:pt>
                <c:pt idx="2">
                  <c:v>Blue</c:v>
                </c:pt>
              </c:strCache>
            </c:strRef>
          </c:cat>
          <c:val>
            <c:numRef>
              <c:f>'3.2mA Comparison'!$N$5:$N$7</c:f>
              <c:numCache>
                <c:formatCode>0.0</c:formatCode>
                <c:ptCount val="3"/>
                <c:pt idx="0">
                  <c:v>163.17280453257791</c:v>
                </c:pt>
                <c:pt idx="1">
                  <c:v>543.90934844192634</c:v>
                </c:pt>
                <c:pt idx="2">
                  <c:v>113.31444759206799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D956-F046-BE8C-032BA94F9EFB}"/>
            </c:ext>
          </c:extLst>
        </c:ser>
        <c:ser>
          <c:idx val="2"/>
          <c:order val="2"/>
          <c:tx>
            <c:v>Cxxx Max</c:v>
          </c:tx>
          <c:spPr>
            <a:solidFill>
              <a:srgbClr val="5B167D"/>
            </a:solidFill>
          </c:spPr>
          <c:invertIfNegative val="1"/>
          <c:cat>
            <c:strRef>
              <c:f>'3.2mA Comparison'!$L$5:$L$7</c:f>
              <c:strCache>
                <c:ptCount val="3"/>
                <c:pt idx="0">
                  <c:v>Red</c:v>
                </c:pt>
                <c:pt idx="1">
                  <c:v>Green</c:v>
                </c:pt>
                <c:pt idx="2">
                  <c:v>Blue</c:v>
                </c:pt>
              </c:strCache>
            </c:strRef>
          </c:cat>
          <c:val>
            <c:numRef>
              <c:f>'3.2mA Comparison'!$O$5:$O$7</c:f>
              <c:numCache>
                <c:formatCode>0.0</c:formatCode>
                <c:ptCount val="3"/>
                <c:pt idx="0">
                  <c:v>254</c:v>
                </c:pt>
                <c:pt idx="1">
                  <c:v>640</c:v>
                </c:pt>
                <c:pt idx="2">
                  <c:v>142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D956-F046-BE8C-032BA94F9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mcd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58"/>
  <sheetViews>
    <sheetView showGridLines="0" tabSelected="1" zoomScale="110" workbookViewId="0">
      <pane xSplit="3" ySplit="3" topLeftCell="D4" activePane="bottomRight" state="frozen"/>
      <selection pane="topRight" activeCell="B1" sqref="B1"/>
      <selection pane="bottomLeft" activeCell="A2" sqref="A2"/>
      <selection pane="bottomRight" activeCell="P38" sqref="P38"/>
    </sheetView>
  </sheetViews>
  <sheetFormatPr baseColWidth="10" defaultColWidth="8.83203125" defaultRowHeight="14"/>
  <cols>
    <col min="1" max="1" width="8.83203125" style="24"/>
    <col min="2" max="2" width="3.83203125" customWidth="1"/>
    <col min="3" max="3" width="46.83203125" customWidth="1"/>
    <col min="4" max="4" width="37.6640625" customWidth="1"/>
    <col min="5" max="5" width="28.5" customWidth="1"/>
    <col min="6" max="6" width="2.33203125" customWidth="1"/>
    <col min="7" max="7" width="33.6640625" customWidth="1"/>
    <col min="8" max="8" width="26.83203125" bestFit="1" customWidth="1"/>
    <col min="9" max="9" width="1.5" customWidth="1"/>
    <col min="10" max="10" width="41.1640625" customWidth="1"/>
    <col min="11" max="11" width="28.5" customWidth="1"/>
    <col min="12" max="12" width="1.83203125" customWidth="1"/>
    <col min="13" max="13" width="38" customWidth="1"/>
    <col min="15" max="60" width="8.83203125" style="24"/>
  </cols>
  <sheetData>
    <row r="1" spans="1:60" s="24" customFormat="1"/>
    <row r="2" spans="1:60" s="23" customFormat="1">
      <c r="A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</row>
    <row r="3" spans="1:60" s="11" customFormat="1" ht="42" customHeight="1">
      <c r="A3" s="25"/>
      <c r="C3" s="21" t="s">
        <v>0</v>
      </c>
      <c r="D3" s="21" t="s">
        <v>1</v>
      </c>
      <c r="E3" s="21" t="s">
        <v>2</v>
      </c>
      <c r="F3" s="21"/>
      <c r="G3" s="21" t="s">
        <v>3</v>
      </c>
      <c r="H3" s="21" t="s">
        <v>4</v>
      </c>
      <c r="I3" s="21"/>
      <c r="J3" s="21" t="s">
        <v>5</v>
      </c>
      <c r="K3" s="21" t="s">
        <v>6</v>
      </c>
      <c r="L3" s="21"/>
      <c r="M3" s="21" t="s">
        <v>7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</row>
    <row r="4" spans="1:60" s="11" customFormat="1" ht="25" customHeight="1">
      <c r="A4" s="25"/>
      <c r="C4" s="12" t="s">
        <v>8</v>
      </c>
      <c r="D4" s="13" t="s">
        <v>9</v>
      </c>
      <c r="E4" s="13"/>
      <c r="F4" s="13"/>
      <c r="G4" s="13" t="s">
        <v>10</v>
      </c>
      <c r="H4" s="13"/>
      <c r="I4" s="13"/>
      <c r="J4" s="13" t="s">
        <v>11</v>
      </c>
      <c r="K4" s="13"/>
      <c r="L4" s="13"/>
      <c r="M4" s="13" t="s">
        <v>130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</row>
    <row r="5" spans="1:60" s="11" customFormat="1" ht="25" customHeight="1">
      <c r="A5" s="25"/>
      <c r="C5" s="12" t="s">
        <v>12</v>
      </c>
      <c r="D5" s="13" t="s">
        <v>13</v>
      </c>
      <c r="E5" s="13"/>
      <c r="F5" s="13"/>
      <c r="G5" s="13" t="s">
        <v>13</v>
      </c>
      <c r="H5" s="13"/>
      <c r="I5" s="13"/>
      <c r="J5" s="13" t="s">
        <v>14</v>
      </c>
      <c r="K5" s="13"/>
      <c r="L5" s="13"/>
      <c r="M5" s="13" t="s">
        <v>13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</row>
    <row r="6" spans="1:60" s="11" customFormat="1" ht="25" customHeight="1">
      <c r="A6" s="25"/>
      <c r="C6" s="12" t="s">
        <v>15</v>
      </c>
      <c r="D6" s="13" t="s">
        <v>16</v>
      </c>
      <c r="E6" s="13"/>
      <c r="F6" s="13"/>
      <c r="G6" s="13" t="s">
        <v>17</v>
      </c>
      <c r="H6" s="13"/>
      <c r="I6" s="13"/>
      <c r="J6" s="13" t="s">
        <v>13</v>
      </c>
      <c r="K6" s="13"/>
      <c r="L6" s="13"/>
      <c r="M6" s="13" t="s">
        <v>13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</row>
    <row r="7" spans="1:60" s="11" customFormat="1" ht="25" customHeight="1">
      <c r="A7" s="25"/>
      <c r="C7" s="12" t="s">
        <v>18</v>
      </c>
      <c r="D7" s="13" t="s">
        <v>19</v>
      </c>
      <c r="E7" s="13"/>
      <c r="F7" s="13"/>
      <c r="G7" s="13" t="s">
        <v>20</v>
      </c>
      <c r="H7" s="13"/>
      <c r="I7" s="13"/>
      <c r="J7" s="13" t="s">
        <v>129</v>
      </c>
      <c r="K7" s="13"/>
      <c r="L7" s="13"/>
      <c r="M7" s="13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</row>
    <row r="8" spans="1:60" s="11" customFormat="1" ht="25" customHeight="1">
      <c r="A8" s="25"/>
      <c r="C8" s="12" t="s">
        <v>21</v>
      </c>
      <c r="D8" s="13" t="s">
        <v>19</v>
      </c>
      <c r="E8" s="13"/>
      <c r="F8" s="13"/>
      <c r="G8" s="13" t="s">
        <v>19</v>
      </c>
      <c r="H8" s="13"/>
      <c r="I8" s="13"/>
      <c r="J8" s="13" t="s">
        <v>22</v>
      </c>
      <c r="K8" s="13"/>
      <c r="L8" s="13"/>
      <c r="M8" s="13" t="s">
        <v>13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</row>
    <row r="9" spans="1:60" s="11" customFormat="1" ht="25" customHeight="1">
      <c r="A9" s="25"/>
      <c r="C9" s="12" t="s">
        <v>23</v>
      </c>
      <c r="D9" s="13" t="s">
        <v>13</v>
      </c>
      <c r="E9" s="13"/>
      <c r="F9" s="13"/>
      <c r="G9" s="13" t="s">
        <v>24</v>
      </c>
      <c r="H9" s="13"/>
      <c r="I9" s="13"/>
      <c r="J9" s="13" t="s">
        <v>25</v>
      </c>
      <c r="K9" s="13"/>
      <c r="L9" s="13"/>
      <c r="M9" s="13" t="s">
        <v>13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</row>
    <row r="10" spans="1:60" s="11" customFormat="1" ht="25" customHeight="1">
      <c r="A10" s="25"/>
      <c r="C10" s="12" t="s">
        <v>26</v>
      </c>
      <c r="D10" s="13" t="s">
        <v>13</v>
      </c>
      <c r="E10" s="13"/>
      <c r="F10" s="13"/>
      <c r="G10" s="13" t="s">
        <v>13</v>
      </c>
      <c r="H10" s="13"/>
      <c r="I10" s="13"/>
      <c r="J10" s="13" t="s">
        <v>27</v>
      </c>
      <c r="K10" s="13"/>
      <c r="L10" s="13"/>
      <c r="M10" s="13" t="s">
        <v>13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</row>
    <row r="11" spans="1:60" s="11" customFormat="1" ht="25" customHeight="1">
      <c r="A11" s="25"/>
      <c r="C11" s="12" t="s">
        <v>28</v>
      </c>
      <c r="D11" s="13" t="s">
        <v>29</v>
      </c>
      <c r="E11" s="13"/>
      <c r="F11" s="13"/>
      <c r="G11" s="13" t="s">
        <v>30</v>
      </c>
      <c r="H11" s="13"/>
      <c r="I11" s="13"/>
      <c r="J11" s="13" t="s">
        <v>31</v>
      </c>
      <c r="K11" s="13"/>
      <c r="L11" s="13"/>
      <c r="M11" s="13" t="s">
        <v>32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</row>
    <row r="12" spans="1:60" s="11" customFormat="1" ht="25" customHeight="1">
      <c r="A12" s="25"/>
      <c r="C12" s="12" t="s">
        <v>33</v>
      </c>
      <c r="D12" s="13" t="s">
        <v>34</v>
      </c>
      <c r="E12" s="13"/>
      <c r="F12" s="13"/>
      <c r="G12" s="13" t="s">
        <v>35</v>
      </c>
      <c r="H12" s="13"/>
      <c r="I12" s="13"/>
      <c r="J12" s="13" t="s">
        <v>36</v>
      </c>
      <c r="K12" s="13"/>
      <c r="L12" s="13"/>
      <c r="M12" s="13" t="s">
        <v>37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</row>
    <row r="13" spans="1:60" s="11" customFormat="1" ht="46">
      <c r="A13" s="25"/>
      <c r="C13" s="12" t="s">
        <v>38</v>
      </c>
      <c r="D13" s="13" t="s">
        <v>39</v>
      </c>
      <c r="E13" s="13"/>
      <c r="F13" s="13"/>
      <c r="G13" s="13" t="s">
        <v>40</v>
      </c>
      <c r="H13" s="13"/>
      <c r="I13" s="13"/>
      <c r="J13" s="14" t="s">
        <v>41</v>
      </c>
      <c r="K13" s="13"/>
      <c r="L13" s="13"/>
      <c r="M13" s="13" t="s">
        <v>42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</row>
    <row r="14" spans="1:60" s="11" customFormat="1" ht="25" customHeight="1">
      <c r="A14" s="25"/>
      <c r="C14" s="12" t="s">
        <v>43</v>
      </c>
      <c r="D14" s="13" t="s">
        <v>13</v>
      </c>
      <c r="E14" s="13"/>
      <c r="F14" s="13"/>
      <c r="G14" s="13" t="s">
        <v>13</v>
      </c>
      <c r="H14" s="13"/>
      <c r="I14" s="13"/>
      <c r="J14" s="14" t="s">
        <v>44</v>
      </c>
      <c r="K14" s="13"/>
      <c r="L14" s="13"/>
      <c r="M14" s="13" t="s">
        <v>13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</row>
    <row r="15" spans="1:60" s="11" customFormat="1" ht="25" customHeight="1">
      <c r="A15" s="25"/>
      <c r="C15" s="12" t="s">
        <v>45</v>
      </c>
      <c r="D15" s="13" t="s">
        <v>46</v>
      </c>
      <c r="E15" s="13"/>
      <c r="F15" s="13"/>
      <c r="G15" s="13" t="s">
        <v>40</v>
      </c>
      <c r="H15" s="13"/>
      <c r="I15" s="13"/>
      <c r="J15" s="14" t="s">
        <v>47</v>
      </c>
      <c r="K15" s="13"/>
      <c r="L15" s="13"/>
      <c r="M15" s="13" t="s">
        <v>48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</row>
    <row r="16" spans="1:60" s="11" customFormat="1" ht="23">
      <c r="A16" s="25"/>
      <c r="C16" s="12" t="s">
        <v>49</v>
      </c>
      <c r="D16" s="13" t="s">
        <v>50</v>
      </c>
      <c r="E16" s="13"/>
      <c r="F16" s="13"/>
      <c r="G16" s="13" t="s">
        <v>51</v>
      </c>
      <c r="H16" s="13"/>
      <c r="I16" s="13"/>
      <c r="J16" s="13" t="s">
        <v>51</v>
      </c>
      <c r="K16" s="13"/>
      <c r="L16" s="13"/>
      <c r="M16" s="13" t="s">
        <v>13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</row>
    <row r="17" spans="1:60" s="11" customFormat="1" ht="23">
      <c r="A17" s="25"/>
      <c r="C17" s="12" t="s">
        <v>52</v>
      </c>
      <c r="D17" s="13" t="s">
        <v>53</v>
      </c>
      <c r="E17" s="13"/>
      <c r="F17" s="13"/>
      <c r="G17" s="13" t="s">
        <v>54</v>
      </c>
      <c r="H17" s="13"/>
      <c r="I17" s="13"/>
      <c r="J17" s="13" t="s">
        <v>55</v>
      </c>
      <c r="K17" s="13"/>
      <c r="L17" s="13"/>
      <c r="M17" s="13" t="s">
        <v>13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</row>
    <row r="18" spans="1:60" s="11" customFormat="1" ht="23">
      <c r="A18" s="25"/>
      <c r="C18" s="12" t="s">
        <v>56</v>
      </c>
      <c r="D18" s="13" t="s">
        <v>57</v>
      </c>
      <c r="E18" s="13"/>
      <c r="F18" s="13"/>
      <c r="G18" s="13" t="s">
        <v>40</v>
      </c>
      <c r="H18" s="13"/>
      <c r="I18" s="13"/>
      <c r="J18" s="13" t="s">
        <v>58</v>
      </c>
      <c r="K18" s="13"/>
      <c r="L18" s="13"/>
      <c r="M18" s="13" t="s">
        <v>13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</row>
    <row r="19" spans="1:60" s="11" customFormat="1" ht="46">
      <c r="A19" s="25"/>
      <c r="C19" s="12" t="s">
        <v>59</v>
      </c>
      <c r="D19" s="13" t="s">
        <v>60</v>
      </c>
      <c r="E19" s="13"/>
      <c r="F19" s="13"/>
      <c r="G19" s="13" t="s">
        <v>40</v>
      </c>
      <c r="H19" s="13"/>
      <c r="I19" s="13"/>
      <c r="J19" s="13" t="s">
        <v>40</v>
      </c>
      <c r="K19" s="13"/>
      <c r="L19" s="13"/>
      <c r="M19" s="13" t="s">
        <v>13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</row>
    <row r="20" spans="1:60" s="11" customFormat="1" ht="25" customHeight="1">
      <c r="A20" s="25"/>
      <c r="C20" s="12" t="s">
        <v>61</v>
      </c>
      <c r="D20" s="13" t="s">
        <v>60</v>
      </c>
      <c r="E20" s="15" t="s">
        <v>60</v>
      </c>
      <c r="F20" s="13"/>
      <c r="G20" s="13" t="s">
        <v>62</v>
      </c>
      <c r="H20" s="15" t="s">
        <v>60</v>
      </c>
      <c r="I20" s="13"/>
      <c r="J20" s="13" t="s">
        <v>63</v>
      </c>
      <c r="K20" s="15" t="s">
        <v>60</v>
      </c>
      <c r="L20" s="13"/>
      <c r="M20" s="13" t="s">
        <v>64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</row>
    <row r="21" spans="1:60" s="11" customFormat="1" ht="23">
      <c r="A21" s="25"/>
      <c r="C21" s="16" t="s">
        <v>65</v>
      </c>
      <c r="D21" s="13" t="s">
        <v>66</v>
      </c>
      <c r="E21" s="13" t="str">
        <f>TEXT(86*Assumptions!$B$4/3.2,"0.0")&amp;" – "&amp;TEXT(130*Assumptions!$B$4/3.2,"0.0")&amp;" mcd"</f>
        <v>86.0 – 130.0 mcd</v>
      </c>
      <c r="F21" s="13"/>
      <c r="G21" s="13" t="s">
        <v>67</v>
      </c>
      <c r="H21" s="13" t="str">
        <f>TEXT(90*Assumptions!$B$4/3.53,"0.0")&amp;" – "&amp;TEXT(180*Assumptions!$B$4/3.53,"0.0")&amp;" mcd"</f>
        <v>81.6 – 163.2 mcd</v>
      </c>
      <c r="I21" s="13"/>
      <c r="J21" s="13" t="s">
        <v>68</v>
      </c>
      <c r="K21" s="19" t="str">
        <f>TEXT(403*Assumptions!$B$4/8,"0.0")&amp;" – "&amp;TEXT(635*Assumptions!$B$4/8,"0.0")&amp;" mcd"</f>
        <v>161.2 – 254.0 mcd</v>
      </c>
      <c r="L21" s="13"/>
      <c r="M21" s="13" t="s">
        <v>69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</row>
    <row r="22" spans="1:60" s="11" customFormat="1" ht="23">
      <c r="A22" s="25"/>
      <c r="C22" s="17" t="s">
        <v>70</v>
      </c>
      <c r="D22" s="13" t="s">
        <v>71</v>
      </c>
      <c r="E22" s="13" t="str">
        <f>TEXT(325*Assumptions!$B$4/3.2,"0.0")&amp;" – "&amp;TEXT(489*Assumptions!$B$4/3.2,"0.0")&amp;" mcd"</f>
        <v>325.0 – 489.0 mcd</v>
      </c>
      <c r="F22" s="13"/>
      <c r="G22" s="13" t="s">
        <v>72</v>
      </c>
      <c r="H22" s="13" t="str">
        <f>TEXT(320*Assumptions!$B$4/3.53,"0.0")&amp;" – "&amp;TEXT(600*Assumptions!$B$4/3.53,"0.0")&amp;" mcd"</f>
        <v>290.1 – 543.9 mcd</v>
      </c>
      <c r="I22" s="13"/>
      <c r="J22" s="13" t="s">
        <v>73</v>
      </c>
      <c r="K22" s="20" t="str">
        <f>TEXT(1010*Assumptions!$B$4/8,"0.0")&amp;" – "&amp;TEXT(1600*Assumptions!$B$4/8,"0.0")&amp;" mcd"</f>
        <v>404.0 – 640.0 mcd</v>
      </c>
      <c r="L22" s="13"/>
      <c r="M22" s="13" t="s">
        <v>69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</row>
    <row r="23" spans="1:60" s="11" customFormat="1" ht="23">
      <c r="A23" s="25"/>
      <c r="C23" s="18" t="s">
        <v>74</v>
      </c>
      <c r="D23" s="13" t="s">
        <v>75</v>
      </c>
      <c r="E23" s="13" t="str">
        <f>TEXT(66*Assumptions!$B$4/3.2,"0.0")&amp;" – "&amp;TEXT(100*Assumptions!$B$4/3.2,"0.0")&amp;" mcd"</f>
        <v>66.0 – 100.0 mcd</v>
      </c>
      <c r="F23" s="13"/>
      <c r="G23" s="13" t="s">
        <v>76</v>
      </c>
      <c r="H23" s="13" t="str">
        <f>TEXT(70*Assumptions!$B$4/3.53,"0.0")&amp;" – "&amp;TEXT(125*Assumptions!$B$4/3.53,"0.0")&amp;" mcd"</f>
        <v>63.5 – 113.3 mcd</v>
      </c>
      <c r="I23" s="13"/>
      <c r="J23" s="13" t="s">
        <v>77</v>
      </c>
      <c r="K23" s="26" t="str">
        <f>TEXT(224*Assumptions!$B$4/8,"0.0")&amp;" – "&amp;TEXT(355*Assumptions!$B$4/8,"0.0")&amp;" mcd"</f>
        <v>89.6 – 142.0 mcd</v>
      </c>
      <c r="L23" s="13"/>
      <c r="M23" s="13" t="s">
        <v>69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</row>
    <row r="24" spans="1:60" s="11" customFormat="1" ht="23">
      <c r="A24" s="25"/>
      <c r="C24" s="12" t="s">
        <v>78</v>
      </c>
      <c r="D24" s="13" t="s">
        <v>79</v>
      </c>
      <c r="E24" s="13"/>
      <c r="F24" s="13"/>
      <c r="G24" s="13" t="s">
        <v>80</v>
      </c>
      <c r="H24" s="13"/>
      <c r="I24" s="13"/>
      <c r="J24" s="13" t="s">
        <v>81</v>
      </c>
      <c r="K24" s="13"/>
      <c r="L24" s="13"/>
      <c r="M24" s="13" t="s">
        <v>82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</row>
    <row r="25" spans="1:60" s="11" customFormat="1" ht="23">
      <c r="A25" s="25"/>
      <c r="C25" s="12" t="s">
        <v>83</v>
      </c>
      <c r="D25" s="13" t="s">
        <v>84</v>
      </c>
      <c r="E25" s="13"/>
      <c r="F25" s="13"/>
      <c r="G25" s="13" t="s">
        <v>85</v>
      </c>
      <c r="H25" s="13"/>
      <c r="I25" s="13"/>
      <c r="J25" s="13" t="s">
        <v>86</v>
      </c>
      <c r="K25" s="13"/>
      <c r="L25" s="13"/>
      <c r="M25" s="13" t="s">
        <v>82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</row>
    <row r="26" spans="1:60" s="11" customFormat="1" ht="33" customHeight="1">
      <c r="A26" s="25"/>
      <c r="C26" s="12" t="s">
        <v>87</v>
      </c>
      <c r="D26" s="13" t="s">
        <v>88</v>
      </c>
      <c r="E26" s="13"/>
      <c r="F26" s="13"/>
      <c r="G26" s="13" t="s">
        <v>89</v>
      </c>
      <c r="H26" s="13"/>
      <c r="I26" s="13"/>
      <c r="J26" s="13" t="s">
        <v>90</v>
      </c>
      <c r="K26" s="13"/>
      <c r="L26" s="13"/>
      <c r="M26" s="13" t="s">
        <v>82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</row>
    <row r="27" spans="1:60" s="11" customFormat="1" ht="23">
      <c r="A27" s="25"/>
      <c r="C27" s="12" t="s">
        <v>91</v>
      </c>
      <c r="D27" s="13" t="s">
        <v>40</v>
      </c>
      <c r="E27" s="13"/>
      <c r="F27" s="13"/>
      <c r="G27" s="13" t="s">
        <v>40</v>
      </c>
      <c r="H27" s="13"/>
      <c r="I27" s="13"/>
      <c r="J27" s="13" t="s">
        <v>92</v>
      </c>
      <c r="K27" s="13"/>
      <c r="L27" s="13"/>
      <c r="M27" s="13" t="s">
        <v>13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</row>
    <row r="28" spans="1:60" s="11" customFormat="1" ht="25" customHeight="1">
      <c r="A28" s="25"/>
      <c r="C28" s="12" t="s">
        <v>93</v>
      </c>
      <c r="D28" s="13" t="s">
        <v>94</v>
      </c>
      <c r="E28" s="13"/>
      <c r="F28" s="13"/>
      <c r="G28" s="13" t="s">
        <v>95</v>
      </c>
      <c r="H28" s="13"/>
      <c r="I28" s="13"/>
      <c r="J28" s="13" t="s">
        <v>96</v>
      </c>
      <c r="K28" s="13"/>
      <c r="L28" s="13"/>
      <c r="M28" s="13" t="s">
        <v>13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</row>
    <row r="29" spans="1:60" s="11" customFormat="1" ht="25" customHeight="1">
      <c r="A29" s="25"/>
      <c r="C29" s="12" t="s">
        <v>97</v>
      </c>
      <c r="D29" s="13" t="s">
        <v>98</v>
      </c>
      <c r="E29" s="13"/>
      <c r="F29" s="13"/>
      <c r="G29" s="13" t="s">
        <v>99</v>
      </c>
      <c r="H29" s="13"/>
      <c r="I29" s="13"/>
      <c r="J29" s="13" t="s">
        <v>99</v>
      </c>
      <c r="K29" s="13"/>
      <c r="L29" s="13"/>
      <c r="M29" s="13" t="s">
        <v>13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</row>
    <row r="30" spans="1:60" s="11" customFormat="1" ht="115">
      <c r="A30" s="25"/>
      <c r="C30" s="12" t="s">
        <v>100</v>
      </c>
      <c r="D30" s="13" t="s">
        <v>101</v>
      </c>
      <c r="E30" s="13"/>
      <c r="F30" s="13"/>
      <c r="G30" s="13" t="s">
        <v>102</v>
      </c>
      <c r="H30" s="13"/>
      <c r="I30" s="13"/>
      <c r="J30" s="14" t="s">
        <v>103</v>
      </c>
      <c r="K30" s="13"/>
      <c r="L30" s="13"/>
      <c r="M30" s="13" t="s">
        <v>104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</row>
    <row r="32" spans="1:60" ht="23">
      <c r="M32" s="27" t="s">
        <v>131</v>
      </c>
    </row>
    <row r="33" spans="2:14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2:14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2:14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2:14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2:14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2:14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2:14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2:14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2:14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2:14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2:14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2:14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2:14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2:14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2:14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2:14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2:14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2:14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2:14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2:14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2:14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2:14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2:14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2:14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2:14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2:14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2:14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2:14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2:14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2:14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2:14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2:14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2:14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2:14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2:14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2:14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2:14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2:14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2:14"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2:14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2:14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2:14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2:14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2:14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2:14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2:14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2:14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2:14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2:14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2:14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2:14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2:14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2:14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2:14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2:14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2:14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2:14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2:14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2:14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2:14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2:14"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2:14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2:14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2:14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2:14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2:14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2:14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2:14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2:14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2:14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2:14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2:14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2:14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2:14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2:14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2:14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2:14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2:14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2:14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2:14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2:14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2:14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2:14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2:14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2:14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2:14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2:14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2:14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2:14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2:14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2:14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2:14"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2:14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2:14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2:14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2:14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2:14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2:14"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2:14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2:14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2:14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2:14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2:14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2:14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2:14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2:14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2:14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2:14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2:14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2:14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2:14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2:14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2:14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2:14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2:14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2:14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2:14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2:14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2:14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2:14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2:14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2:14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2:14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2:14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2:14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"/>
  <sheetViews>
    <sheetView showGridLines="0" workbookViewId="0"/>
  </sheetViews>
  <sheetFormatPr baseColWidth="10" defaultColWidth="8.83203125" defaultRowHeight="14"/>
  <cols>
    <col min="1" max="1" width="12" customWidth="1"/>
    <col min="2" max="9" width="18" customWidth="1"/>
    <col min="10" max="10" width="16" customWidth="1"/>
    <col min="12" max="15" width="16" customWidth="1"/>
  </cols>
  <sheetData>
    <row r="1" spans="1:15" ht="15">
      <c r="A1" s="9" t="s">
        <v>105</v>
      </c>
      <c r="B1" s="9" t="s">
        <v>105</v>
      </c>
      <c r="C1" s="9" t="s">
        <v>105</v>
      </c>
      <c r="D1" s="9" t="s">
        <v>105</v>
      </c>
      <c r="E1" s="9" t="s">
        <v>105</v>
      </c>
      <c r="F1" s="9" t="s">
        <v>105</v>
      </c>
      <c r="G1" s="9" t="s">
        <v>105</v>
      </c>
      <c r="H1" s="9" t="s">
        <v>105</v>
      </c>
      <c r="I1" s="9" t="s">
        <v>105</v>
      </c>
      <c r="J1" s="9" t="s">
        <v>105</v>
      </c>
      <c r="K1" s="2"/>
      <c r="L1" s="2"/>
      <c r="M1" s="2"/>
      <c r="N1" s="2"/>
      <c r="O1" s="2"/>
    </row>
    <row r="2" spans="1:15" ht="15">
      <c r="A2" s="10" t="s">
        <v>106</v>
      </c>
      <c r="B2" s="10" t="s">
        <v>106</v>
      </c>
      <c r="C2" s="10" t="s">
        <v>106</v>
      </c>
      <c r="D2" s="10" t="s">
        <v>106</v>
      </c>
      <c r="E2" s="10" t="s">
        <v>106</v>
      </c>
      <c r="F2" s="10" t="s">
        <v>106</v>
      </c>
      <c r="G2" s="10" t="s">
        <v>106</v>
      </c>
      <c r="H2" s="10" t="s">
        <v>106</v>
      </c>
      <c r="I2" s="10" t="s">
        <v>106</v>
      </c>
      <c r="J2" s="10" t="s">
        <v>106</v>
      </c>
      <c r="K2" s="2"/>
      <c r="L2" s="2"/>
      <c r="M2" s="2"/>
      <c r="N2" s="2"/>
      <c r="O2" s="2"/>
    </row>
    <row r="3" spans="1:15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32">
      <c r="A4" s="1" t="s">
        <v>107</v>
      </c>
      <c r="B4" s="1" t="s">
        <v>108</v>
      </c>
      <c r="C4" s="1" t="s">
        <v>109</v>
      </c>
      <c r="D4" s="1" t="s">
        <v>110</v>
      </c>
      <c r="E4" s="1" t="s">
        <v>111</v>
      </c>
      <c r="F4" s="1" t="s">
        <v>112</v>
      </c>
      <c r="G4" s="1" t="s">
        <v>113</v>
      </c>
      <c r="H4" s="1" t="s">
        <v>114</v>
      </c>
      <c r="I4" s="1" t="s">
        <v>115</v>
      </c>
      <c r="J4" s="1" t="s">
        <v>116</v>
      </c>
      <c r="K4" s="2"/>
      <c r="L4" s="1" t="s">
        <v>107</v>
      </c>
      <c r="M4" s="1" t="s">
        <v>110</v>
      </c>
      <c r="N4" s="1" t="s">
        <v>112</v>
      </c>
      <c r="O4" s="1" t="s">
        <v>114</v>
      </c>
    </row>
    <row r="5" spans="1:15" ht="15">
      <c r="A5" s="3" t="s">
        <v>117</v>
      </c>
      <c r="B5" s="4">
        <f>Assumptions!$B$4</f>
        <v>3.2</v>
      </c>
      <c r="C5" s="4">
        <f>86*$B5/3.2</f>
        <v>85.999999999999986</v>
      </c>
      <c r="D5" s="4">
        <f>130*$B5/3.2</f>
        <v>130</v>
      </c>
      <c r="E5" s="4">
        <f>90*$B5/3.53</f>
        <v>81.586402266288957</v>
      </c>
      <c r="F5" s="4">
        <f>180*$B5/3.53</f>
        <v>163.17280453257791</v>
      </c>
      <c r="G5" s="4">
        <f>403*$B5/8</f>
        <v>161.20000000000002</v>
      </c>
      <c r="H5" s="4">
        <f>635*$B5/8</f>
        <v>254</v>
      </c>
      <c r="I5" s="4">
        <f>MAX(D5,F5,H5)</f>
        <v>254</v>
      </c>
      <c r="J5" s="5" t="str">
        <f>IF(I5=D5,"NationStar",IF(I5=F5,"Kinglight","Cxxx"))</f>
        <v>Cxxx</v>
      </c>
      <c r="K5" s="2"/>
      <c r="L5" s="5" t="str">
        <f>A5</f>
        <v>Red</v>
      </c>
      <c r="M5" s="4">
        <f>D5</f>
        <v>130</v>
      </c>
      <c r="N5" s="4">
        <f>F5</f>
        <v>163.17280453257791</v>
      </c>
      <c r="O5" s="4">
        <f>H5</f>
        <v>254</v>
      </c>
    </row>
    <row r="6" spans="1:15" ht="15">
      <c r="A6" s="6" t="s">
        <v>118</v>
      </c>
      <c r="B6" s="4">
        <f>Assumptions!$B$4</f>
        <v>3.2</v>
      </c>
      <c r="C6" s="4">
        <f>325*$B6/3.2</f>
        <v>325</v>
      </c>
      <c r="D6" s="4">
        <f>489*$B6/3.2</f>
        <v>489.00000000000006</v>
      </c>
      <c r="E6" s="4">
        <f>320*$B6/3.53</f>
        <v>290.08498583569406</v>
      </c>
      <c r="F6" s="4">
        <f>600*$B6/3.53</f>
        <v>543.90934844192634</v>
      </c>
      <c r="G6" s="4">
        <f>1010*$B6/8</f>
        <v>404</v>
      </c>
      <c r="H6" s="4">
        <f>1600*$B6/8</f>
        <v>640</v>
      </c>
      <c r="I6" s="4">
        <f>MAX(D6,F6,H6)</f>
        <v>640</v>
      </c>
      <c r="J6" s="5" t="str">
        <f>IF(I6=D6,"NationStar",IF(I6=F6,"Kinglight","Cxxx"))</f>
        <v>Cxxx</v>
      </c>
      <c r="K6" s="2"/>
      <c r="L6" s="5" t="str">
        <f>A6</f>
        <v>Green</v>
      </c>
      <c r="M6" s="4">
        <f>D6</f>
        <v>489.00000000000006</v>
      </c>
      <c r="N6" s="4">
        <f>F6</f>
        <v>543.90934844192634</v>
      </c>
      <c r="O6" s="4">
        <f>H6</f>
        <v>640</v>
      </c>
    </row>
    <row r="7" spans="1:15" ht="15">
      <c r="A7" s="7" t="s">
        <v>119</v>
      </c>
      <c r="B7" s="4">
        <f>Assumptions!$B$4</f>
        <v>3.2</v>
      </c>
      <c r="C7" s="4">
        <f>66*$B7/3.2</f>
        <v>66</v>
      </c>
      <c r="D7" s="4">
        <f>100*$B7/3.2</f>
        <v>100</v>
      </c>
      <c r="E7" s="4">
        <f>70*$B7/3.53</f>
        <v>63.456090651558078</v>
      </c>
      <c r="F7" s="4">
        <f>125*$B7/3.53</f>
        <v>113.31444759206799</v>
      </c>
      <c r="G7" s="4">
        <f>224*$B7/8</f>
        <v>89.600000000000009</v>
      </c>
      <c r="H7" s="4">
        <f>355*$B7/8</f>
        <v>142</v>
      </c>
      <c r="I7" s="4">
        <f>MAX(D7,F7,H7)</f>
        <v>142</v>
      </c>
      <c r="J7" s="5" t="str">
        <f>IF(I7=D7,"NationStar",IF(I7=F7,"Kinglight","Cxxx"))</f>
        <v>Cxxx</v>
      </c>
      <c r="K7" s="2"/>
      <c r="L7" s="5" t="str">
        <f>A7</f>
        <v>Blue</v>
      </c>
      <c r="M7" s="4">
        <f>D7</f>
        <v>100</v>
      </c>
      <c r="N7" s="4">
        <f>F7</f>
        <v>113.31444759206799</v>
      </c>
      <c r="O7" s="4">
        <f>H7</f>
        <v>142</v>
      </c>
    </row>
  </sheetData>
  <mergeCells count="2">
    <mergeCell ref="A1:J1"/>
    <mergeCell ref="A2:J2"/>
  </mergeCells>
  <conditionalFormatting sqref="I5:I7">
    <cfRule type="dataBar" priority="1">
      <dataBar>
        <cfvo type="min"/>
        <cfvo type="max"/>
        <color rgb="FF003F83"/>
      </dataBar>
    </cfRule>
    <cfRule type="dataBar" priority="2">
      <dataBar>
        <cfvo type="min"/>
        <cfvo type="max"/>
        <color rgb="FF003F83"/>
      </dataBar>
      <extLst>
        <ext xmlns:x14="http://schemas.microsoft.com/office/spreadsheetml/2009/9/main" uri="{B025F937-C7B1-47D3-B67F-A62EFF666E3E}">
          <x14:id>{AC2B2126-0742-1379-6D2D-B0A22D3E6CA4}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2B2126-0742-1379-6D2D-B0A22D3E6CA4}">
            <x14:dataBar>
              <x14:cfvo type="min"/>
              <x14:cfvo type="max"/>
              <x14:negativeFillColor auto="1"/>
              <x14:axisColor auto="1"/>
            </x14:dataBar>
          </x14:cfRule>
          <xm:sqref>I5:I7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showGridLines="0" workbookViewId="0"/>
  </sheetViews>
  <sheetFormatPr baseColWidth="10" defaultColWidth="8.83203125" defaultRowHeight="14"/>
  <cols>
    <col min="1" max="4" width="32" customWidth="1"/>
  </cols>
  <sheetData>
    <row r="1" spans="1:4">
      <c r="A1" s="9" t="s">
        <v>120</v>
      </c>
      <c r="B1" s="9" t="s">
        <v>120</v>
      </c>
      <c r="C1" s="9" t="s">
        <v>120</v>
      </c>
      <c r="D1" s="9" t="s">
        <v>120</v>
      </c>
    </row>
    <row r="2" spans="1:4" ht="15">
      <c r="A2" s="2"/>
      <c r="B2" s="2"/>
      <c r="C2" s="2"/>
      <c r="D2" s="2"/>
    </row>
    <row r="3" spans="1:4" ht="16">
      <c r="A3" s="1" t="s">
        <v>121</v>
      </c>
      <c r="B3" s="1" t="s">
        <v>122</v>
      </c>
      <c r="C3" s="2"/>
      <c r="D3" s="2"/>
    </row>
    <row r="4" spans="1:4" ht="15">
      <c r="A4" s="5" t="s">
        <v>123</v>
      </c>
      <c r="B4" s="8">
        <v>3.2</v>
      </c>
      <c r="C4" s="2"/>
      <c r="D4" s="2"/>
    </row>
    <row r="5" spans="1:4" ht="15">
      <c r="A5" s="5" t="s">
        <v>124</v>
      </c>
      <c r="B5" s="5" t="s">
        <v>125</v>
      </c>
      <c r="C5" s="2"/>
      <c r="D5" s="2"/>
    </row>
    <row r="6" spans="1:4" ht="45">
      <c r="A6" s="5" t="s">
        <v>126</v>
      </c>
      <c r="B6" s="5" t="s">
        <v>127</v>
      </c>
      <c r="C6" s="2"/>
      <c r="D6" s="2"/>
    </row>
    <row r="7" spans="1:4" ht="15">
      <c r="A7" s="2"/>
      <c r="B7" s="2"/>
      <c r="C7" s="2"/>
      <c r="D7" s="2"/>
    </row>
    <row r="8" spans="1:4" ht="15">
      <c r="A8" s="10" t="s">
        <v>128</v>
      </c>
      <c r="B8" s="10" t="s">
        <v>128</v>
      </c>
      <c r="C8" s="10" t="s">
        <v>128</v>
      </c>
      <c r="D8" s="10" t="s">
        <v>128</v>
      </c>
    </row>
  </sheetData>
  <mergeCells count="2">
    <mergeCell ref="A1:D1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Reconstructed Table</vt:lpstr>
      <vt:lpstr>3.2mA Comparison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eddie 徐</cp:lastModifiedBy>
  <dcterms:created xsi:type="dcterms:W3CDTF">2026-07-23T21:05:02Z</dcterms:created>
  <dcterms:modified xsi:type="dcterms:W3CDTF">2026-07-23T21:05:02Z</dcterms:modified>
</cp:coreProperties>
</file>