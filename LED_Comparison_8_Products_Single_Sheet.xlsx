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eddiec/Library/CloudStorage/GoogleDrive-totem1997@gmail.com/My Drive/Business/ClearLED/01_Vendors/LED/00_comparison table/"/>
    </mc:Choice>
  </mc:AlternateContent>
  <xr:revisionPtr revIDLastSave="0" documentId="8_{A1CF91E1-1DA0-2C48-8B29-A10681D4F9DA}" xr6:coauthVersionLast="47" xr6:coauthVersionMax="47" xr10:uidLastSave="{00000000-0000-0000-0000-000000000000}"/>
  <bookViews>
    <workbookView xWindow="800" yWindow="1600" windowWidth="29400" windowHeight="18960" xr2:uid="{00000000-000D-0000-FFFF-FFFF00000000}"/>
  </bookViews>
  <sheets>
    <sheet name="LED Comparis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6" i="1" l="1"/>
  <c r="P56" i="1"/>
  <c r="N56" i="1"/>
  <c r="L56" i="1"/>
  <c r="J56" i="1"/>
  <c r="H56" i="1"/>
  <c r="F56" i="1"/>
  <c r="D56" i="1"/>
  <c r="R55" i="1"/>
  <c r="P55" i="1"/>
  <c r="N55" i="1"/>
  <c r="L55" i="1"/>
  <c r="J55" i="1"/>
  <c r="H55" i="1"/>
  <c r="F55" i="1"/>
  <c r="D55" i="1"/>
  <c r="R54" i="1"/>
  <c r="P54" i="1"/>
  <c r="N54" i="1"/>
  <c r="L54" i="1"/>
  <c r="J54" i="1"/>
  <c r="H54" i="1"/>
  <c r="F54" i="1"/>
  <c r="D54" i="1"/>
  <c r="R53" i="1"/>
  <c r="P53" i="1"/>
  <c r="N53" i="1"/>
  <c r="L53" i="1"/>
  <c r="J53" i="1"/>
  <c r="H53" i="1"/>
  <c r="F53" i="1"/>
  <c r="D53" i="1"/>
  <c r="R52" i="1"/>
  <c r="P52" i="1"/>
  <c r="N52" i="1"/>
  <c r="L52" i="1"/>
  <c r="J52" i="1"/>
  <c r="H52" i="1"/>
  <c r="F52" i="1"/>
  <c r="D52" i="1"/>
  <c r="R51" i="1"/>
  <c r="P51" i="1"/>
  <c r="N51" i="1"/>
  <c r="L51" i="1"/>
  <c r="J51" i="1"/>
  <c r="H51" i="1"/>
  <c r="F51" i="1"/>
  <c r="D51" i="1"/>
  <c r="R50" i="1"/>
  <c r="P50" i="1"/>
  <c r="N50" i="1"/>
  <c r="L50" i="1"/>
  <c r="J50" i="1"/>
  <c r="H50" i="1"/>
  <c r="F50" i="1"/>
  <c r="D50" i="1"/>
  <c r="R49" i="1"/>
  <c r="P49" i="1"/>
  <c r="N49" i="1"/>
  <c r="L49" i="1"/>
  <c r="J49" i="1"/>
  <c r="H49" i="1"/>
  <c r="F49" i="1"/>
  <c r="D49" i="1"/>
  <c r="R48" i="1"/>
  <c r="P48" i="1"/>
  <c r="N48" i="1"/>
  <c r="L48" i="1"/>
  <c r="J48" i="1"/>
  <c r="H48" i="1"/>
  <c r="F48" i="1"/>
  <c r="D48" i="1"/>
</calcChain>
</file>

<file path=xl/sharedStrings.xml><?xml version="1.0" encoding="utf-8"?>
<sst xmlns="http://schemas.openxmlformats.org/spreadsheetml/2006/main" count="474" uniqueCount="151">
  <si>
    <t>Integrated-Driver RGB LED Comparison — 8 Products</t>
  </si>
  <si>
    <t>Single-sheet engineering matrix | Normalized luminous intensity reference: 3.2 mA/channel | Linear performance assumed</t>
  </si>
  <si>
    <t>Parameter</t>
  </si>
  <si>
    <t>Unit</t>
  </si>
  <si>
    <t>NationStar
TBC-T2020M-J6I16
Original</t>
  </si>
  <si>
    <t>@3.2 mA</t>
  </si>
  <si>
    <t>Kinglight
JT-KF2222IC3SURZGQBW-CB-B2
Original</t>
  </si>
  <si>
    <t>Cxxx
OLY6D-FKC Series
Original</t>
  </si>
  <si>
    <t>NationStar
TBF-C1010M-S4I16
Original</t>
  </si>
  <si>
    <t>NationStar
TBS-T1515MB-S2I16
Original</t>
  </si>
  <si>
    <t>NationStar
TBS-T1515MZ-S2I16
Original</t>
  </si>
  <si>
    <t>NationStar
TBS-T2020MZ-S2I16
Original</t>
  </si>
  <si>
    <t>NationStar
TBS-T2020MZ-S2I16-P
Original</t>
  </si>
  <si>
    <t>Notes</t>
  </si>
  <si>
    <t>IDENTIFICATION &amp; SOURCE STATUS</t>
  </si>
  <si>
    <t>Manufacturer</t>
  </si>
  <si>
    <t>NationStar</t>
  </si>
  <si>
    <t>Kinglight</t>
  </si>
  <si>
    <t>Cxxx</t>
  </si>
  <si>
    <t>Part number / series</t>
  </si>
  <si>
    <t>TBC-T2020M-J6I16</t>
  </si>
  <si>
    <t>JT-KF2222IC3SURZGQBW-CB-B2</t>
  </si>
  <si>
    <t>OLY6D-FKC Series</t>
  </si>
  <si>
    <t>TBF-C1010M-S4I16</t>
  </si>
  <si>
    <t>TBS-T1515MB-S2I16</t>
  </si>
  <si>
    <t>TBS-T1515MZ-S2I16</t>
  </si>
  <si>
    <t>TBS-T2020MZ-S2I16</t>
  </si>
  <si>
    <t>TBS-T2020MZ-S2I16-P</t>
  </si>
  <si>
    <t>MECHANICAL</t>
  </si>
  <si>
    <t>Package</t>
  </si>
  <si>
    <t>2020</t>
  </si>
  <si>
    <t>2222</t>
  </si>
  <si>
    <t>N/S</t>
  </si>
  <si>
    <t>1010</t>
  </si>
  <si>
    <t>1515</t>
  </si>
  <si>
    <t>Length</t>
  </si>
  <si>
    <t>mm</t>
  </si>
  <si>
    <t>Width</t>
  </si>
  <si>
    <t>Height</t>
  </si>
  <si>
    <t>Viewing angle</t>
  </si>
  <si>
    <t>°</t>
  </si>
  <si>
    <t>Recommended pitch range</t>
  </si>
  <si>
    <t>Pad arrangement / PCB compatibility</t>
  </si>
  <si>
    <t>6-pad arrangement</t>
  </si>
  <si>
    <t>The earlier comparison described the first two products as having similar six-pad layouts; PCB interchangeability still requires drawing-level verification.</t>
  </si>
  <si>
    <t>ELECTRICAL &amp; THERMAL</t>
  </si>
  <si>
    <t>Operating supply voltage</t>
  </si>
  <si>
    <t>V</t>
  </si>
  <si>
    <t>3.3–12</t>
  </si>
  <si>
    <t>3–5.5</t>
  </si>
  <si>
    <t>3.0–5.5</t>
  </si>
  <si>
    <t>Operating temperature</t>
  </si>
  <si>
    <t>°C</t>
  </si>
  <si>
    <t>-40 to +85</t>
  </si>
  <si>
    <t>-30 to +85</t>
  </si>
  <si>
    <t>Storage temperature</t>
  </si>
  <si>
    <t>Maximum junction temperature (Tj)</t>
  </si>
  <si>
    <t>The referenced conversation explicitly states Tj was not specified for the first two devices; no supported Tj values were preserved for the others.</t>
  </si>
  <si>
    <t>Thermal resistance</t>
  </si>
  <si>
    <t>°C/W</t>
  </si>
  <si>
    <t>Optical test current</t>
  </si>
  <si>
    <t>mA/channel</t>
  </si>
  <si>
    <t>Compared-at current</t>
  </si>
  <si>
    <t>Normalization reference: lowest disclosed optical test current.</t>
  </si>
  <si>
    <t>Output-current range</t>
  </si>
  <si>
    <t>0.2–3.2</t>
  </si>
  <si>
    <t>Maximum output current</t>
  </si>
  <si>
    <t>For Kinglight, 3.53 mA is an optical test condition, not a disclosed maximum output-current rating.</t>
  </si>
  <si>
    <t>Static / standby current</t>
  </si>
  <si>
    <t>µA</t>
  </si>
  <si>
    <t>≤50</t>
  </si>
  <si>
    <t>Current programmability</t>
  </si>
  <si>
    <t>16 levels; 0.2 mA steps</t>
  </si>
  <si>
    <t>Current accuracy</t>
  </si>
  <si>
    <t>%</t>
  </si>
  <si>
    <t>±3</t>
  </si>
  <si>
    <t>ESD rating</t>
  </si>
  <si>
    <t>Solder / reflow temperature</t>
  </si>
  <si>
    <t>270°C for 8 s</t>
  </si>
  <si>
    <t>250°C recommended reflow; 300°C hand solder for 3 s</t>
  </si>
  <si>
    <t>DRIVER IC &amp; COMMUNICATION</t>
  </si>
  <si>
    <t>Integrated driver IC</t>
  </si>
  <si>
    <t>Yes</t>
  </si>
  <si>
    <t>PWM resolution</t>
  </si>
  <si>
    <t>bit</t>
  </si>
  <si>
    <t>PWM frequency</t>
  </si>
  <si>
    <t>kHz</t>
  </si>
  <si>
    <t>Kept separate from refresh rate.</t>
  </si>
  <si>
    <t>Data rate</t>
  </si>
  <si>
    <t>kbps</t>
  </si>
  <si>
    <t>800; up to 1,200 stated</t>
  </si>
  <si>
    <t>800; max 1,000 stated</t>
  </si>
  <si>
    <t>Maximum cascaded pixels</t>
  </si>
  <si>
    <t>pixels</t>
  </si>
  <si>
    <t>500 at 800 kbps / 30 Hz</t>
  </si>
  <si>
    <t>Backup data path</t>
  </si>
  <si>
    <t>Dual input (DI0/DI1)</t>
  </si>
  <si>
    <t>DI + BI backup</t>
  </si>
  <si>
    <t>No</t>
  </si>
  <si>
    <t>Bidirectional communication</t>
  </si>
  <si>
    <t>Breakpoint continuation</t>
  </si>
  <si>
    <t>Over-voltage protection</t>
  </si>
  <si>
    <t>EMS / error-monitoring technology</t>
  </si>
  <si>
    <t>CRC</t>
  </si>
  <si>
    <t>Gamma correction</t>
  </si>
  <si>
    <t>Temperature compensation / monitor</t>
  </si>
  <si>
    <t>Open/short or cold-joint detection</t>
  </si>
  <si>
    <t>OPTICAL — ORIGINAL AND NORMALIZED TO 3.2 mA</t>
  </si>
  <si>
    <t>Red luminous intensity — minimum</t>
  </si>
  <si>
    <t>mcd</t>
  </si>
  <si>
    <t>Normalized columns use Original × (3.2 mA ÷ optical test current), assuming linear luminous intensity versus current.</t>
  </si>
  <si>
    <t>Red luminous intensity — typical</t>
  </si>
  <si>
    <t>Red luminous intensity — maximum</t>
  </si>
  <si>
    <t>Green luminous intensity — minimum</t>
  </si>
  <si>
    <t>Green luminous intensity — typical</t>
  </si>
  <si>
    <t>Green luminous intensity — maximum</t>
  </si>
  <si>
    <t>Blue luminous intensity — minimum</t>
  </si>
  <si>
    <t>Blue luminous intensity — typical</t>
  </si>
  <si>
    <t>Blue luminous intensity — maximum</t>
  </si>
  <si>
    <t>Red dominant wavelength</t>
  </si>
  <si>
    <t>nm</t>
  </si>
  <si>
    <t>610–630</t>
  </si>
  <si>
    <t>Green dominant wavelength</t>
  </si>
  <si>
    <t>525–545</t>
  </si>
  <si>
    <t>Blue dominant wavelength</t>
  </si>
  <si>
    <t>460–480</t>
  </si>
  <si>
    <t>Red forward voltage — typical</t>
  </si>
  <si>
    <t>Green forward voltage — typical</t>
  </si>
  <si>
    <t>Blue forward voltage — typical</t>
  </si>
  <si>
    <t>RELIABILITY &amp; COMPLIANCE</t>
  </si>
  <si>
    <t>Moisture sensitivity level (MSL)</t>
  </si>
  <si>
    <t>MSL 3 stated in reliability discussion</t>
  </si>
  <si>
    <t>Water resistance / IP rating</t>
  </si>
  <si>
    <t>Reliability testing disclosed</t>
  </si>
  <si>
    <t>General handling/reflow/ESD precautions</t>
  </si>
  <si>
    <t>Thermal shock, storage, life test, MSL3</t>
  </si>
  <si>
    <t>RoHS / REACH / halogen-free</t>
  </si>
  <si>
    <t>Lifetime / L70 / L90</t>
  </si>
  <si>
    <t>ENGINEERING NOTES</t>
  </si>
  <si>
    <t>Key strength</t>
  </si>
  <si>
    <t>Wide supply range; disclosed 16-bit PWM and programmable current</t>
  </si>
  <si>
    <t>Wider viewing angle; lower disclosed idle current</t>
  </si>
  <si>
    <t>High red intensity at 8 mA in preserved comparison</t>
  </si>
  <si>
    <t>Ultra-small package</t>
  </si>
  <si>
    <t>1515 package; lower brightness option</t>
  </si>
  <si>
    <t>Higher optical output than 1515MB</t>
  </si>
  <si>
    <t>2020 package; strong optical output</t>
  </si>
  <si>
    <t>Highest preserved RGB output among the five later NationStar devices</t>
  </si>
  <si>
    <t>Qualification caveat</t>
  </si>
  <si>
    <t>Confirm against current controlled datasheet revision</t>
  </si>
  <si>
    <t>Do not interpret operating-temperature limits as maximum junction temperature.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</si>
</sst>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>
    <font>
      <sz val="11"/>
      <name val="Carlito"/>
    </font>
    <font>
      <b/>
      <sz val="14"/>
      <color rgb="FFFFFFFF"/>
      <name val="Aptos Display"/>
    </font>
    <font>
      <sz val="14"/>
      <name val="Carlito"/>
    </font>
    <font>
      <i/>
      <sz val="14"/>
      <color rgb="FF34495E"/>
      <name val="Aptos"/>
    </font>
    <font>
      <sz val="14"/>
      <color rgb="FF202124"/>
      <name val="Aptos"/>
    </font>
    <font>
      <b/>
      <sz val="14"/>
      <color rgb="FFFFFFFF"/>
      <name val="Aptos"/>
    </font>
    <font>
      <b/>
      <sz val="14"/>
      <color rgb="FF1F4E78"/>
      <name val="Aptos"/>
    </font>
  </fonts>
  <fills count="10">
    <fill>
      <patternFill patternType="none"/>
    </fill>
    <fill>
      <patternFill patternType="gray125"/>
    </fill>
    <fill>
      <patternFill patternType="solid">
        <fgColor rgb="FF243447"/>
      </patternFill>
    </fill>
    <fill>
      <patternFill patternType="solid">
        <fgColor rgb="FFE8EEF5"/>
      </patternFill>
    </fill>
    <fill>
      <patternFill patternType="solid">
        <fgColor rgb="FF3F4E5E"/>
      </patternFill>
    </fill>
    <fill>
      <patternFill patternType="solid">
        <fgColor rgb="FFD9E3F0"/>
      </patternFill>
    </fill>
    <fill>
      <patternFill patternType="solid">
        <fgColor rgb="FFF2F4F7"/>
      </patternFill>
    </fill>
    <fill>
      <patternFill patternType="solid">
        <fgColor rgb="FFFCE8E6"/>
      </patternFill>
    </fill>
    <fill>
      <patternFill patternType="solid">
        <fgColor rgb="FFE6F4EA"/>
      </patternFill>
    </fill>
    <fill>
      <patternFill patternType="solid">
        <fgColor rgb="FFE8F0FE"/>
      </patternFill>
    </fill>
  </fills>
  <borders count="10">
    <border>
      <left/>
      <right/>
      <top/>
      <bottom/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  <diagonal/>
    </border>
    <border>
      <left/>
      <right/>
      <top/>
      <bottom style="thin">
        <color rgb="FFE2E7EC"/>
      </bottom>
      <diagonal/>
    </border>
    <border>
      <left/>
      <right/>
      <top style="thin">
        <color rgb="FFE2E7EC"/>
      </top>
      <bottom style="thin">
        <color rgb="FFE2E7EC"/>
      </bottom>
      <diagonal/>
    </border>
    <border>
      <left/>
      <right/>
      <top style="thin">
        <color rgb="FFE2E7EC"/>
      </top>
      <bottom style="medium">
        <color rgb="FF7F8C8D"/>
      </bottom>
      <diagonal/>
    </border>
    <border>
      <left style="thin">
        <color rgb="FFB8C2CC"/>
      </left>
      <right style="medium">
        <color rgb="FFAAB4BE"/>
      </right>
      <top style="thin">
        <color rgb="FFB8C2CC"/>
      </top>
      <bottom style="thin">
        <color rgb="FFB8C2CC"/>
      </bottom>
      <diagonal/>
    </border>
    <border>
      <left style="thin">
        <color rgb="FFB8C2CC"/>
      </left>
      <right style="medium">
        <color rgb="FFAAB4BE"/>
      </right>
      <top/>
      <bottom style="thin">
        <color rgb="FFE2E7EC"/>
      </bottom>
      <diagonal/>
    </border>
    <border>
      <left style="thin">
        <color rgb="FFB8C2CC"/>
      </left>
      <right style="medium">
        <color rgb="FFAAB4BE"/>
      </right>
      <top style="thin">
        <color rgb="FFE2E7EC"/>
      </top>
      <bottom style="thin">
        <color rgb="FFE2E7EC"/>
      </bottom>
      <diagonal/>
    </border>
    <border>
      <left style="thin">
        <color rgb="FFB8C2CC"/>
      </left>
      <right style="medium">
        <color rgb="FFAAB4BE"/>
      </right>
      <top style="thin">
        <color rgb="FFE2E7EC"/>
      </top>
      <bottom style="thin">
        <color rgb="FFB8C2CC"/>
      </bottom>
      <diagonal/>
    </border>
    <border>
      <left style="thin">
        <color rgb="FFB8C2CC"/>
      </left>
      <right style="medium">
        <color rgb="FFAAB4BE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5" fillId="4" borderId="1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2" fontId="4" fillId="0" borderId="3" xfId="0" applyNumberFormat="1" applyFont="1" applyBorder="1" applyAlignment="1">
      <alignment horizontal="center" vertical="center" wrapText="1"/>
    </xf>
    <xf numFmtId="2" fontId="4" fillId="6" borderId="7" xfId="0" applyNumberFormat="1" applyFont="1" applyFill="1" applyBorder="1" applyAlignment="1">
      <alignment horizontal="center" vertical="center" wrapText="1"/>
    </xf>
    <xf numFmtId="164" fontId="4" fillId="7" borderId="3" xfId="0" applyNumberFormat="1" applyFont="1" applyFill="1" applyBorder="1" applyAlignment="1">
      <alignment horizontal="center" vertical="center" wrapText="1"/>
    </xf>
    <xf numFmtId="164" fontId="4" fillId="7" borderId="7" xfId="0" applyNumberFormat="1" applyFont="1" applyFill="1" applyBorder="1" applyAlignment="1">
      <alignment horizontal="center" vertical="center" wrapText="1"/>
    </xf>
    <xf numFmtId="164" fontId="4" fillId="8" borderId="3" xfId="0" applyNumberFormat="1" applyFont="1" applyFill="1" applyBorder="1" applyAlignment="1">
      <alignment horizontal="center" vertical="center" wrapText="1"/>
    </xf>
    <xf numFmtId="164" fontId="4" fillId="8" borderId="7" xfId="0" applyNumberFormat="1" applyFont="1" applyFill="1" applyBorder="1" applyAlignment="1">
      <alignment horizontal="center" vertical="center" wrapText="1"/>
    </xf>
    <xf numFmtId="164" fontId="4" fillId="9" borderId="3" xfId="0" applyNumberFormat="1" applyFont="1" applyFill="1" applyBorder="1" applyAlignment="1">
      <alignment horizontal="center" vertical="center" wrapText="1"/>
    </xf>
    <xf numFmtId="164" fontId="4" fillId="9" borderId="7" xfId="0" applyNumberFormat="1" applyFont="1" applyFill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4" fillId="6" borderId="8" xfId="0" applyFont="1" applyFill="1" applyBorder="1" applyAlignment="1">
      <alignment horizontal="center" vertical="center" wrapText="1"/>
    </xf>
    <xf numFmtId="0" fontId="2" fillId="0" borderId="0" xfId="0" applyFont="1" applyAlignment="1"/>
    <xf numFmtId="0" fontId="4" fillId="0" borderId="0" xfId="0" applyFont="1" applyAlignment="1"/>
    <xf numFmtId="0" fontId="5" fillId="4" borderId="1" xfId="0" applyFont="1" applyFill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7" borderId="3" xfId="0" applyFont="1" applyFill="1" applyBorder="1" applyAlignment="1">
      <alignment vertical="center"/>
    </xf>
    <xf numFmtId="0" fontId="4" fillId="8" borderId="3" xfId="0" applyFont="1" applyFill="1" applyBorder="1" applyAlignment="1">
      <alignment vertical="center"/>
    </xf>
    <xf numFmtId="0" fontId="4" fillId="9" borderId="3" xfId="0" applyFont="1" applyFill="1" applyBorder="1" applyAlignment="1">
      <alignment vertical="center"/>
    </xf>
    <xf numFmtId="0" fontId="4" fillId="0" borderId="4" xfId="0" applyFont="1" applyBorder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wrapText="1"/>
    </xf>
    <xf numFmtId="0" fontId="3" fillId="3" borderId="0" xfId="0" applyFont="1" applyFill="1" applyAlignment="1">
      <alignment horizontal="center" vertical="center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5" fillId="4" borderId="0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vertical="center" wrapText="1"/>
    </xf>
    <xf numFmtId="0" fontId="6" fillId="6" borderId="6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1"/>
  <sheetViews>
    <sheetView showGridLines="0" tabSelected="1" topLeftCell="A4" zoomScale="125" workbookViewId="0">
      <pane xSplit="1" ySplit="1" topLeftCell="B5" activePane="bottomRight" state="frozen"/>
      <selection activeCell="A4" sqref="A4"/>
      <selection pane="topRight" activeCell="B4" sqref="B4"/>
      <selection pane="bottomLeft" activeCell="A5" sqref="A5"/>
      <selection pane="bottomRight" activeCell="A12" sqref="A12"/>
    </sheetView>
  </sheetViews>
  <sheetFormatPr baseColWidth="10" defaultColWidth="8.83203125" defaultRowHeight="18"/>
  <cols>
    <col min="1" max="1" width="40" style="20" customWidth="1"/>
    <col min="2" max="2" width="8.6640625" style="36" customWidth="1"/>
    <col min="3" max="3" width="38.6640625" style="29" customWidth="1"/>
    <col min="4" max="4" width="12" style="29" customWidth="1"/>
    <col min="5" max="5" width="39.6640625" style="29" customWidth="1"/>
    <col min="6" max="6" width="12" style="29" customWidth="1"/>
    <col min="7" max="7" width="18" style="29" customWidth="1"/>
    <col min="8" max="8" width="12" style="29" customWidth="1"/>
    <col min="9" max="9" width="18" style="29" customWidth="1"/>
    <col min="10" max="10" width="12" style="29" customWidth="1"/>
    <col min="11" max="11" width="18" style="29" customWidth="1"/>
    <col min="12" max="12" width="12" style="29" customWidth="1"/>
    <col min="13" max="13" width="18" style="29" customWidth="1"/>
    <col min="14" max="14" width="12" style="29" customWidth="1"/>
    <col min="15" max="15" width="21.33203125" style="29" customWidth="1"/>
    <col min="16" max="16" width="12" style="29" customWidth="1"/>
    <col min="17" max="17" width="22.33203125" style="29" customWidth="1"/>
    <col min="18" max="18" width="12" style="29" customWidth="1"/>
    <col min="19" max="19" width="52" style="29" customWidth="1"/>
    <col min="20" max="16384" width="8.83203125" style="29"/>
  </cols>
  <sheetData>
    <row r="1" spans="1:19" ht="28" customHeight="1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</row>
    <row r="2" spans="1:19" ht="22" customHeight="1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</row>
    <row r="3" spans="1:19" ht="19">
      <c r="A3" s="21"/>
      <c r="B3" s="32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</row>
    <row r="4" spans="1:19" ht="90" customHeight="1">
      <c r="A4" s="22" t="s">
        <v>2</v>
      </c>
      <c r="B4" s="1" t="s">
        <v>3</v>
      </c>
      <c r="C4" s="1" t="s">
        <v>4</v>
      </c>
      <c r="D4" s="2" t="s">
        <v>5</v>
      </c>
      <c r="E4" s="1" t="s">
        <v>6</v>
      </c>
      <c r="F4" s="2" t="s">
        <v>5</v>
      </c>
      <c r="G4" s="1" t="s">
        <v>7</v>
      </c>
      <c r="H4" s="2" t="s">
        <v>5</v>
      </c>
      <c r="I4" s="1" t="s">
        <v>8</v>
      </c>
      <c r="J4" s="2" t="s">
        <v>5</v>
      </c>
      <c r="K4" s="1" t="s">
        <v>9</v>
      </c>
      <c r="L4" s="2" t="s">
        <v>5</v>
      </c>
      <c r="M4" s="1" t="s">
        <v>10</v>
      </c>
      <c r="N4" s="2" t="s">
        <v>5</v>
      </c>
      <c r="O4" s="1" t="s">
        <v>11</v>
      </c>
      <c r="P4" s="2" t="s">
        <v>5</v>
      </c>
      <c r="Q4" s="1" t="s">
        <v>12</v>
      </c>
      <c r="R4" s="2" t="s">
        <v>5</v>
      </c>
      <c r="S4" s="1" t="s">
        <v>13</v>
      </c>
    </row>
    <row r="5" spans="1:19" ht="15" customHeight="1">
      <c r="A5" s="37"/>
      <c r="B5" s="38"/>
      <c r="C5" s="38"/>
      <c r="D5" s="39"/>
      <c r="E5" s="38"/>
      <c r="F5" s="39"/>
      <c r="G5" s="38"/>
      <c r="H5" s="39"/>
      <c r="I5" s="38"/>
      <c r="J5" s="39"/>
      <c r="K5" s="38"/>
      <c r="L5" s="39"/>
      <c r="M5" s="38"/>
      <c r="N5" s="39"/>
      <c r="O5" s="38"/>
      <c r="P5" s="39"/>
      <c r="Q5" s="38"/>
      <c r="R5" s="39"/>
      <c r="S5" s="38"/>
    </row>
    <row r="6" spans="1:19" ht="22" customHeight="1">
      <c r="A6" s="40" t="s">
        <v>14</v>
      </c>
      <c r="B6" s="40"/>
      <c r="C6" s="40"/>
      <c r="D6" s="41"/>
      <c r="E6" s="40"/>
      <c r="F6" s="41"/>
      <c r="G6" s="40"/>
      <c r="H6" s="41"/>
      <c r="I6" s="40"/>
      <c r="J6" s="41"/>
      <c r="K6" s="40"/>
      <c r="L6" s="41"/>
      <c r="M6" s="40"/>
      <c r="N6" s="41"/>
      <c r="O6" s="40"/>
      <c r="P6" s="41"/>
      <c r="Q6" s="40"/>
      <c r="R6" s="41"/>
      <c r="S6" s="40"/>
    </row>
    <row r="7" spans="1:19" ht="28" customHeight="1">
      <c r="A7" s="23" t="s">
        <v>15</v>
      </c>
      <c r="B7" s="4"/>
      <c r="C7" s="4" t="s">
        <v>16</v>
      </c>
      <c r="D7" s="5"/>
      <c r="E7" s="4" t="s">
        <v>17</v>
      </c>
      <c r="F7" s="5"/>
      <c r="G7" s="4" t="s">
        <v>18</v>
      </c>
      <c r="H7" s="5"/>
      <c r="I7" s="4" t="s">
        <v>16</v>
      </c>
      <c r="J7" s="5"/>
      <c r="K7" s="4" t="s">
        <v>16</v>
      </c>
      <c r="L7" s="5"/>
      <c r="M7" s="4" t="s">
        <v>16</v>
      </c>
      <c r="N7" s="5"/>
      <c r="O7" s="4" t="s">
        <v>16</v>
      </c>
      <c r="P7" s="5"/>
      <c r="Q7" s="4" t="s">
        <v>16</v>
      </c>
      <c r="R7" s="5"/>
      <c r="S7" s="3"/>
    </row>
    <row r="8" spans="1:19" ht="28" customHeight="1">
      <c r="A8" s="23" t="s">
        <v>19</v>
      </c>
      <c r="B8" s="4"/>
      <c r="C8" s="4" t="s">
        <v>20</v>
      </c>
      <c r="D8" s="5"/>
      <c r="E8" s="4" t="s">
        <v>21</v>
      </c>
      <c r="F8" s="5"/>
      <c r="G8" s="4" t="s">
        <v>22</v>
      </c>
      <c r="H8" s="5"/>
      <c r="I8" s="4" t="s">
        <v>23</v>
      </c>
      <c r="J8" s="5"/>
      <c r="K8" s="4" t="s">
        <v>24</v>
      </c>
      <c r="L8" s="5"/>
      <c r="M8" s="4" t="s">
        <v>25</v>
      </c>
      <c r="N8" s="5"/>
      <c r="O8" s="4" t="s">
        <v>26</v>
      </c>
      <c r="P8" s="5"/>
      <c r="Q8" s="4" t="s">
        <v>27</v>
      </c>
      <c r="R8" s="5"/>
      <c r="S8" s="3"/>
    </row>
    <row r="9" spans="1:19" ht="22" customHeight="1">
      <c r="A9" s="6" t="s">
        <v>28</v>
      </c>
      <c r="B9" s="6"/>
      <c r="C9" s="7"/>
      <c r="D9" s="8"/>
      <c r="E9" s="7"/>
      <c r="F9" s="8"/>
      <c r="G9" s="7"/>
      <c r="H9" s="8"/>
      <c r="I9" s="7"/>
      <c r="J9" s="8"/>
      <c r="K9" s="7"/>
      <c r="L9" s="8"/>
      <c r="M9" s="7"/>
      <c r="N9" s="8"/>
      <c r="O9" s="7"/>
      <c r="P9" s="8"/>
      <c r="Q9" s="7"/>
      <c r="R9" s="8"/>
      <c r="S9" s="6"/>
    </row>
    <row r="10" spans="1:19" ht="28" customHeight="1">
      <c r="A10" s="23" t="s">
        <v>29</v>
      </c>
      <c r="B10" s="4"/>
      <c r="C10" s="4" t="s">
        <v>30</v>
      </c>
      <c r="D10" s="5"/>
      <c r="E10" s="4" t="s">
        <v>31</v>
      </c>
      <c r="F10" s="5"/>
      <c r="G10" s="4" t="s">
        <v>32</v>
      </c>
      <c r="H10" s="5"/>
      <c r="I10" s="4" t="s">
        <v>33</v>
      </c>
      <c r="J10" s="5"/>
      <c r="K10" s="4" t="s">
        <v>34</v>
      </c>
      <c r="L10" s="5"/>
      <c r="M10" s="4" t="s">
        <v>34</v>
      </c>
      <c r="N10" s="5"/>
      <c r="O10" s="4" t="s">
        <v>30</v>
      </c>
      <c r="P10" s="5"/>
      <c r="Q10" s="4" t="s">
        <v>30</v>
      </c>
      <c r="R10" s="5"/>
      <c r="S10" s="3"/>
    </row>
    <row r="11" spans="1:19" ht="28" customHeight="1">
      <c r="A11" s="23" t="s">
        <v>35</v>
      </c>
      <c r="B11" s="4" t="s">
        <v>36</v>
      </c>
      <c r="C11" s="4">
        <v>2.2000000000000002</v>
      </c>
      <c r="D11" s="5"/>
      <c r="E11" s="4">
        <v>2.2000000000000002</v>
      </c>
      <c r="F11" s="5"/>
      <c r="G11" s="4" t="s">
        <v>32</v>
      </c>
      <c r="H11" s="5"/>
      <c r="I11" s="4">
        <v>0.98</v>
      </c>
      <c r="J11" s="5"/>
      <c r="K11" s="4">
        <v>1.6</v>
      </c>
      <c r="L11" s="5"/>
      <c r="M11" s="4">
        <v>1.6</v>
      </c>
      <c r="N11" s="5"/>
      <c r="O11" s="4">
        <v>2.2000000000000002</v>
      </c>
      <c r="P11" s="5"/>
      <c r="Q11" s="4">
        <v>2.2000000000000002</v>
      </c>
      <c r="R11" s="5"/>
      <c r="S11" s="3"/>
    </row>
    <row r="12" spans="1:19" ht="28" customHeight="1">
      <c r="A12" s="23" t="s">
        <v>37</v>
      </c>
      <c r="B12" s="4" t="s">
        <v>36</v>
      </c>
      <c r="C12" s="4">
        <v>2.2000000000000002</v>
      </c>
      <c r="D12" s="5"/>
      <c r="E12" s="4">
        <v>2.2000000000000002</v>
      </c>
      <c r="F12" s="5"/>
      <c r="G12" s="4" t="s">
        <v>32</v>
      </c>
      <c r="H12" s="5"/>
      <c r="I12" s="4">
        <v>0.98</v>
      </c>
      <c r="J12" s="5"/>
      <c r="K12" s="4">
        <v>1.5</v>
      </c>
      <c r="L12" s="5"/>
      <c r="M12" s="4">
        <v>1.5</v>
      </c>
      <c r="N12" s="5"/>
      <c r="O12" s="4">
        <v>2.2000000000000002</v>
      </c>
      <c r="P12" s="5"/>
      <c r="Q12" s="4">
        <v>2.2000000000000002</v>
      </c>
      <c r="R12" s="5"/>
      <c r="S12" s="3"/>
    </row>
    <row r="13" spans="1:19" ht="28" customHeight="1">
      <c r="A13" s="23" t="s">
        <v>38</v>
      </c>
      <c r="B13" s="4" t="s">
        <v>36</v>
      </c>
      <c r="C13" s="4">
        <v>1.02</v>
      </c>
      <c r="D13" s="5"/>
      <c r="E13" s="4">
        <v>1.05</v>
      </c>
      <c r="F13" s="5"/>
      <c r="G13" s="4" t="s">
        <v>32</v>
      </c>
      <c r="H13" s="5"/>
      <c r="I13" s="4" t="s">
        <v>32</v>
      </c>
      <c r="J13" s="5"/>
      <c r="K13" s="4" t="s">
        <v>32</v>
      </c>
      <c r="L13" s="5"/>
      <c r="M13" s="4" t="s">
        <v>32</v>
      </c>
      <c r="N13" s="5"/>
      <c r="O13" s="4" t="s">
        <v>32</v>
      </c>
      <c r="P13" s="5"/>
      <c r="Q13" s="4" t="s">
        <v>32</v>
      </c>
      <c r="R13" s="5"/>
      <c r="S13" s="3"/>
    </row>
    <row r="14" spans="1:19" ht="28" customHeight="1">
      <c r="A14" s="23" t="s">
        <v>39</v>
      </c>
      <c r="B14" s="4" t="s">
        <v>40</v>
      </c>
      <c r="C14" s="4">
        <v>110</v>
      </c>
      <c r="D14" s="5"/>
      <c r="E14" s="4">
        <v>120</v>
      </c>
      <c r="F14" s="5"/>
      <c r="G14" s="4" t="s">
        <v>32</v>
      </c>
      <c r="H14" s="5"/>
      <c r="I14" s="4">
        <v>110</v>
      </c>
      <c r="J14" s="5"/>
      <c r="K14" s="4">
        <v>110</v>
      </c>
      <c r="L14" s="5"/>
      <c r="M14" s="4">
        <v>110</v>
      </c>
      <c r="N14" s="5"/>
      <c r="O14" s="4">
        <v>110</v>
      </c>
      <c r="P14" s="5"/>
      <c r="Q14" s="4">
        <v>110</v>
      </c>
      <c r="R14" s="5"/>
      <c r="S14" s="3"/>
    </row>
    <row r="15" spans="1:19" ht="28" customHeight="1">
      <c r="A15" s="23" t="s">
        <v>41</v>
      </c>
      <c r="B15" s="4"/>
      <c r="C15" s="4" t="s">
        <v>32</v>
      </c>
      <c r="D15" s="5"/>
      <c r="E15" s="4" t="s">
        <v>32</v>
      </c>
      <c r="F15" s="5"/>
      <c r="G15" s="4" t="s">
        <v>32</v>
      </c>
      <c r="H15" s="5"/>
      <c r="I15" s="4" t="s">
        <v>32</v>
      </c>
      <c r="J15" s="5"/>
      <c r="K15" s="4" t="s">
        <v>32</v>
      </c>
      <c r="L15" s="5"/>
      <c r="M15" s="4" t="s">
        <v>32</v>
      </c>
      <c r="N15" s="5"/>
      <c r="O15" s="4" t="s">
        <v>32</v>
      </c>
      <c r="P15" s="5"/>
      <c r="Q15" s="4" t="s">
        <v>32</v>
      </c>
      <c r="R15" s="5"/>
      <c r="S15" s="3"/>
    </row>
    <row r="16" spans="1:19" ht="28" customHeight="1">
      <c r="A16" s="23" t="s">
        <v>42</v>
      </c>
      <c r="B16" s="4"/>
      <c r="C16" s="4" t="s">
        <v>43</v>
      </c>
      <c r="D16" s="5"/>
      <c r="E16" s="4" t="s">
        <v>43</v>
      </c>
      <c r="F16" s="5"/>
      <c r="G16" s="4" t="s">
        <v>32</v>
      </c>
      <c r="H16" s="5"/>
      <c r="I16" s="4" t="s">
        <v>32</v>
      </c>
      <c r="J16" s="5"/>
      <c r="K16" s="4" t="s">
        <v>32</v>
      </c>
      <c r="L16" s="5"/>
      <c r="M16" s="4" t="s">
        <v>32</v>
      </c>
      <c r="N16" s="5"/>
      <c r="O16" s="4" t="s">
        <v>32</v>
      </c>
      <c r="P16" s="5"/>
      <c r="Q16" s="4" t="s">
        <v>32</v>
      </c>
      <c r="R16" s="5"/>
      <c r="S16" s="3" t="s">
        <v>44</v>
      </c>
    </row>
    <row r="17" spans="1:19" ht="22" customHeight="1">
      <c r="A17" s="6" t="s">
        <v>45</v>
      </c>
      <c r="B17" s="6"/>
      <c r="C17" s="7"/>
      <c r="D17" s="8"/>
      <c r="E17" s="7"/>
      <c r="F17" s="8"/>
      <c r="G17" s="7"/>
      <c r="H17" s="8"/>
      <c r="I17" s="7"/>
      <c r="J17" s="8"/>
      <c r="K17" s="7"/>
      <c r="L17" s="8"/>
      <c r="M17" s="7"/>
      <c r="N17" s="8"/>
      <c r="O17" s="7"/>
      <c r="P17" s="8"/>
      <c r="Q17" s="7"/>
      <c r="R17" s="8"/>
      <c r="S17" s="6"/>
    </row>
    <row r="18" spans="1:19" ht="28" customHeight="1">
      <c r="A18" s="23" t="s">
        <v>46</v>
      </c>
      <c r="B18" s="4" t="s">
        <v>47</v>
      </c>
      <c r="C18" s="4" t="s">
        <v>48</v>
      </c>
      <c r="D18" s="5"/>
      <c r="E18" s="4" t="s">
        <v>49</v>
      </c>
      <c r="F18" s="5"/>
      <c r="G18" s="4" t="s">
        <v>32</v>
      </c>
      <c r="H18" s="5"/>
      <c r="I18" s="4" t="s">
        <v>50</v>
      </c>
      <c r="J18" s="5"/>
      <c r="K18" s="4" t="s">
        <v>50</v>
      </c>
      <c r="L18" s="5"/>
      <c r="M18" s="4" t="s">
        <v>50</v>
      </c>
      <c r="N18" s="5"/>
      <c r="O18" s="4" t="s">
        <v>50</v>
      </c>
      <c r="P18" s="5"/>
      <c r="Q18" s="4" t="s">
        <v>50</v>
      </c>
      <c r="R18" s="5"/>
      <c r="S18" s="3"/>
    </row>
    <row r="19" spans="1:19" ht="28" customHeight="1">
      <c r="A19" s="23" t="s">
        <v>51</v>
      </c>
      <c r="B19" s="4" t="s">
        <v>52</v>
      </c>
      <c r="C19" s="4" t="s">
        <v>53</v>
      </c>
      <c r="D19" s="5"/>
      <c r="E19" s="4" t="s">
        <v>54</v>
      </c>
      <c r="F19" s="5"/>
      <c r="G19" s="4" t="s">
        <v>32</v>
      </c>
      <c r="H19" s="5"/>
      <c r="I19" s="4" t="s">
        <v>53</v>
      </c>
      <c r="J19" s="5"/>
      <c r="K19" s="4" t="s">
        <v>53</v>
      </c>
      <c r="L19" s="5"/>
      <c r="M19" s="4" t="s">
        <v>53</v>
      </c>
      <c r="N19" s="5"/>
      <c r="O19" s="4" t="s">
        <v>53</v>
      </c>
      <c r="P19" s="5"/>
      <c r="Q19" s="4" t="s">
        <v>53</v>
      </c>
      <c r="R19" s="5"/>
      <c r="S19" s="3"/>
    </row>
    <row r="20" spans="1:19" ht="28" customHeight="1">
      <c r="A20" s="23" t="s">
        <v>55</v>
      </c>
      <c r="B20" s="4" t="s">
        <v>52</v>
      </c>
      <c r="C20" s="4" t="s">
        <v>53</v>
      </c>
      <c r="D20" s="5"/>
      <c r="E20" s="4" t="s">
        <v>53</v>
      </c>
      <c r="F20" s="5"/>
      <c r="G20" s="4" t="s">
        <v>32</v>
      </c>
      <c r="H20" s="5"/>
      <c r="I20" s="4" t="s">
        <v>32</v>
      </c>
      <c r="J20" s="5"/>
      <c r="K20" s="4" t="s">
        <v>32</v>
      </c>
      <c r="L20" s="5"/>
      <c r="M20" s="4" t="s">
        <v>32</v>
      </c>
      <c r="N20" s="5"/>
      <c r="O20" s="4" t="s">
        <v>32</v>
      </c>
      <c r="P20" s="5"/>
      <c r="Q20" s="4" t="s">
        <v>32</v>
      </c>
      <c r="R20" s="5"/>
      <c r="S20" s="3"/>
    </row>
    <row r="21" spans="1:19" ht="28" customHeight="1">
      <c r="A21" s="23" t="s">
        <v>56</v>
      </c>
      <c r="B21" s="4" t="s">
        <v>52</v>
      </c>
      <c r="C21" s="4" t="s">
        <v>32</v>
      </c>
      <c r="D21" s="5"/>
      <c r="E21" s="4" t="s">
        <v>32</v>
      </c>
      <c r="F21" s="5"/>
      <c r="G21" s="4" t="s">
        <v>32</v>
      </c>
      <c r="H21" s="5"/>
      <c r="I21" s="4" t="s">
        <v>32</v>
      </c>
      <c r="J21" s="5"/>
      <c r="K21" s="4" t="s">
        <v>32</v>
      </c>
      <c r="L21" s="5"/>
      <c r="M21" s="4" t="s">
        <v>32</v>
      </c>
      <c r="N21" s="5"/>
      <c r="O21" s="4" t="s">
        <v>32</v>
      </c>
      <c r="P21" s="5"/>
      <c r="Q21" s="4" t="s">
        <v>32</v>
      </c>
      <c r="R21" s="5"/>
      <c r="S21" s="3" t="s">
        <v>57</v>
      </c>
    </row>
    <row r="22" spans="1:19" ht="28" customHeight="1">
      <c r="A22" s="23" t="s">
        <v>58</v>
      </c>
      <c r="B22" s="4" t="s">
        <v>59</v>
      </c>
      <c r="C22" s="4" t="s">
        <v>32</v>
      </c>
      <c r="D22" s="5"/>
      <c r="E22" s="4" t="s">
        <v>32</v>
      </c>
      <c r="F22" s="5"/>
      <c r="G22" s="4" t="s">
        <v>32</v>
      </c>
      <c r="H22" s="5"/>
      <c r="I22" s="4" t="s">
        <v>32</v>
      </c>
      <c r="J22" s="5"/>
      <c r="K22" s="4" t="s">
        <v>32</v>
      </c>
      <c r="L22" s="5"/>
      <c r="M22" s="4" t="s">
        <v>32</v>
      </c>
      <c r="N22" s="5"/>
      <c r="O22" s="4" t="s">
        <v>32</v>
      </c>
      <c r="P22" s="5"/>
      <c r="Q22" s="4" t="s">
        <v>32</v>
      </c>
      <c r="R22" s="5"/>
      <c r="S22" s="3"/>
    </row>
    <row r="23" spans="1:19" ht="28" customHeight="1">
      <c r="A23" s="23" t="s">
        <v>60</v>
      </c>
      <c r="B23" s="4" t="s">
        <v>61</v>
      </c>
      <c r="C23" s="9">
        <v>3.2</v>
      </c>
      <c r="D23" s="10"/>
      <c r="E23" s="9">
        <v>3.53</v>
      </c>
      <c r="F23" s="10"/>
      <c r="G23" s="9">
        <v>8</v>
      </c>
      <c r="H23" s="10"/>
      <c r="I23" s="9">
        <v>3.2</v>
      </c>
      <c r="J23" s="10"/>
      <c r="K23" s="9">
        <v>3.2</v>
      </c>
      <c r="L23" s="10"/>
      <c r="M23" s="9">
        <v>3.2</v>
      </c>
      <c r="N23" s="10"/>
      <c r="O23" s="9">
        <v>3.2</v>
      </c>
      <c r="P23" s="10"/>
      <c r="Q23" s="9">
        <v>3.2</v>
      </c>
      <c r="R23" s="10"/>
      <c r="S23" s="3"/>
    </row>
    <row r="24" spans="1:19" ht="28" customHeight="1">
      <c r="A24" s="23" t="s">
        <v>62</v>
      </c>
      <c r="B24" s="4" t="s">
        <v>61</v>
      </c>
      <c r="C24" s="4">
        <v>3.2</v>
      </c>
      <c r="D24" s="5"/>
      <c r="E24" s="4">
        <v>3.2</v>
      </c>
      <c r="F24" s="5"/>
      <c r="G24" s="4">
        <v>3.2</v>
      </c>
      <c r="H24" s="5"/>
      <c r="I24" s="4">
        <v>3.2</v>
      </c>
      <c r="J24" s="5"/>
      <c r="K24" s="4">
        <v>3.2</v>
      </c>
      <c r="L24" s="5"/>
      <c r="M24" s="4">
        <v>3.2</v>
      </c>
      <c r="N24" s="5"/>
      <c r="O24" s="4">
        <v>3.2</v>
      </c>
      <c r="P24" s="5"/>
      <c r="Q24" s="4">
        <v>3.2</v>
      </c>
      <c r="R24" s="5"/>
      <c r="S24" s="3" t="s">
        <v>63</v>
      </c>
    </row>
    <row r="25" spans="1:19" ht="28" customHeight="1">
      <c r="A25" s="23" t="s">
        <v>64</v>
      </c>
      <c r="B25" s="4" t="s">
        <v>61</v>
      </c>
      <c r="C25" s="4" t="s">
        <v>65</v>
      </c>
      <c r="D25" s="5"/>
      <c r="E25" s="4" t="s">
        <v>32</v>
      </c>
      <c r="F25" s="5"/>
      <c r="G25" s="4" t="s">
        <v>32</v>
      </c>
      <c r="H25" s="5"/>
      <c r="I25" s="4" t="s">
        <v>32</v>
      </c>
      <c r="J25" s="5"/>
      <c r="K25" s="4" t="s">
        <v>32</v>
      </c>
      <c r="L25" s="5"/>
      <c r="M25" s="4" t="s">
        <v>32</v>
      </c>
      <c r="N25" s="5"/>
      <c r="O25" s="4" t="s">
        <v>32</v>
      </c>
      <c r="P25" s="5"/>
      <c r="Q25" s="4" t="s">
        <v>32</v>
      </c>
      <c r="R25" s="5"/>
      <c r="S25" s="3"/>
    </row>
    <row r="26" spans="1:19" ht="28" customHeight="1">
      <c r="A26" s="23" t="s">
        <v>66</v>
      </c>
      <c r="B26" s="4" t="s">
        <v>61</v>
      </c>
      <c r="C26" s="4">
        <v>3.2</v>
      </c>
      <c r="D26" s="5"/>
      <c r="E26" s="4" t="s">
        <v>32</v>
      </c>
      <c r="F26" s="5"/>
      <c r="G26" s="4" t="s">
        <v>32</v>
      </c>
      <c r="H26" s="5"/>
      <c r="I26" s="4">
        <v>11.6</v>
      </c>
      <c r="J26" s="5"/>
      <c r="K26" s="4">
        <v>11.6</v>
      </c>
      <c r="L26" s="5"/>
      <c r="M26" s="4">
        <v>11.6</v>
      </c>
      <c r="N26" s="5"/>
      <c r="O26" s="4">
        <v>11.6</v>
      </c>
      <c r="P26" s="5"/>
      <c r="Q26" s="4">
        <v>11.6</v>
      </c>
      <c r="R26" s="5"/>
      <c r="S26" s="3" t="s">
        <v>67</v>
      </c>
    </row>
    <row r="27" spans="1:19" ht="28" customHeight="1">
      <c r="A27" s="23" t="s">
        <v>68</v>
      </c>
      <c r="B27" s="4" t="s">
        <v>69</v>
      </c>
      <c r="C27" s="4">
        <v>70</v>
      </c>
      <c r="D27" s="5"/>
      <c r="E27" s="4" t="s">
        <v>70</v>
      </c>
      <c r="F27" s="5"/>
      <c r="G27" s="4" t="s">
        <v>32</v>
      </c>
      <c r="H27" s="5"/>
      <c r="I27" s="4" t="s">
        <v>32</v>
      </c>
      <c r="J27" s="5"/>
      <c r="K27" s="4" t="s">
        <v>32</v>
      </c>
      <c r="L27" s="5"/>
      <c r="M27" s="4" t="s">
        <v>32</v>
      </c>
      <c r="N27" s="5"/>
      <c r="O27" s="4" t="s">
        <v>32</v>
      </c>
      <c r="P27" s="5"/>
      <c r="Q27" s="4" t="s">
        <v>32</v>
      </c>
      <c r="R27" s="5"/>
      <c r="S27" s="3"/>
    </row>
    <row r="28" spans="1:19" ht="28" customHeight="1">
      <c r="A28" s="23" t="s">
        <v>71</v>
      </c>
      <c r="B28" s="4"/>
      <c r="C28" s="4" t="s">
        <v>72</v>
      </c>
      <c r="D28" s="5"/>
      <c r="E28" s="4" t="s">
        <v>32</v>
      </c>
      <c r="F28" s="5"/>
      <c r="G28" s="4" t="s">
        <v>32</v>
      </c>
      <c r="H28" s="5"/>
      <c r="I28" s="4" t="s">
        <v>32</v>
      </c>
      <c r="J28" s="5"/>
      <c r="K28" s="4" t="s">
        <v>32</v>
      </c>
      <c r="L28" s="5"/>
      <c r="M28" s="4" t="s">
        <v>32</v>
      </c>
      <c r="N28" s="5"/>
      <c r="O28" s="4" t="s">
        <v>32</v>
      </c>
      <c r="P28" s="5"/>
      <c r="Q28" s="4" t="s">
        <v>32</v>
      </c>
      <c r="R28" s="5"/>
      <c r="S28" s="3"/>
    </row>
    <row r="29" spans="1:19" ht="28" customHeight="1">
      <c r="A29" s="23" t="s">
        <v>73</v>
      </c>
      <c r="B29" s="4" t="s">
        <v>74</v>
      </c>
      <c r="C29" s="4" t="s">
        <v>75</v>
      </c>
      <c r="D29" s="5"/>
      <c r="E29" s="4" t="s">
        <v>32</v>
      </c>
      <c r="F29" s="5"/>
      <c r="G29" s="4" t="s">
        <v>32</v>
      </c>
      <c r="H29" s="5"/>
      <c r="I29" s="4" t="s">
        <v>32</v>
      </c>
      <c r="J29" s="5"/>
      <c r="K29" s="4" t="s">
        <v>32</v>
      </c>
      <c r="L29" s="5"/>
      <c r="M29" s="4" t="s">
        <v>32</v>
      </c>
      <c r="N29" s="5"/>
      <c r="O29" s="4" t="s">
        <v>32</v>
      </c>
      <c r="P29" s="5"/>
      <c r="Q29" s="4" t="s">
        <v>32</v>
      </c>
      <c r="R29" s="5"/>
      <c r="S29" s="3"/>
    </row>
    <row r="30" spans="1:19" ht="28" customHeight="1">
      <c r="A30" s="23" t="s">
        <v>76</v>
      </c>
      <c r="B30" s="4"/>
      <c r="C30" s="4" t="s">
        <v>32</v>
      </c>
      <c r="D30" s="5"/>
      <c r="E30" s="4" t="s">
        <v>32</v>
      </c>
      <c r="F30" s="5"/>
      <c r="G30" s="4" t="s">
        <v>32</v>
      </c>
      <c r="H30" s="5"/>
      <c r="I30" s="4" t="s">
        <v>32</v>
      </c>
      <c r="J30" s="5"/>
      <c r="K30" s="4" t="s">
        <v>32</v>
      </c>
      <c r="L30" s="5"/>
      <c r="M30" s="4" t="s">
        <v>32</v>
      </c>
      <c r="N30" s="5"/>
      <c r="O30" s="4" t="s">
        <v>32</v>
      </c>
      <c r="P30" s="5"/>
      <c r="Q30" s="4" t="s">
        <v>32</v>
      </c>
      <c r="R30" s="5"/>
      <c r="S30" s="3"/>
    </row>
    <row r="31" spans="1:19" ht="40">
      <c r="A31" s="23" t="s">
        <v>77</v>
      </c>
      <c r="B31" s="4"/>
      <c r="C31" s="4" t="s">
        <v>78</v>
      </c>
      <c r="D31" s="5"/>
      <c r="E31" s="4" t="s">
        <v>79</v>
      </c>
      <c r="F31" s="5"/>
      <c r="G31" s="4" t="s">
        <v>32</v>
      </c>
      <c r="H31" s="5"/>
      <c r="I31" s="4" t="s">
        <v>32</v>
      </c>
      <c r="J31" s="5"/>
      <c r="K31" s="4" t="s">
        <v>32</v>
      </c>
      <c r="L31" s="5"/>
      <c r="M31" s="4" t="s">
        <v>32</v>
      </c>
      <c r="N31" s="5"/>
      <c r="O31" s="4" t="s">
        <v>32</v>
      </c>
      <c r="P31" s="5"/>
      <c r="Q31" s="4" t="s">
        <v>32</v>
      </c>
      <c r="R31" s="5"/>
      <c r="S31" s="3"/>
    </row>
    <row r="32" spans="1:19" ht="22" customHeight="1">
      <c r="A32" s="6" t="s">
        <v>80</v>
      </c>
      <c r="B32" s="6"/>
      <c r="C32" s="7"/>
      <c r="D32" s="8"/>
      <c r="E32" s="7"/>
      <c r="F32" s="8"/>
      <c r="G32" s="7"/>
      <c r="H32" s="8"/>
      <c r="I32" s="7"/>
      <c r="J32" s="8"/>
      <c r="K32" s="7"/>
      <c r="L32" s="8"/>
      <c r="M32" s="7"/>
      <c r="N32" s="8"/>
      <c r="O32" s="7"/>
      <c r="P32" s="8"/>
      <c r="Q32" s="7"/>
      <c r="R32" s="8"/>
      <c r="S32" s="6"/>
    </row>
    <row r="33" spans="1:19" ht="28" customHeight="1">
      <c r="A33" s="23" t="s">
        <v>81</v>
      </c>
      <c r="B33" s="4"/>
      <c r="C33" s="4" t="s">
        <v>82</v>
      </c>
      <c r="D33" s="5"/>
      <c r="E33" s="4" t="s">
        <v>82</v>
      </c>
      <c r="F33" s="5"/>
      <c r="G33" s="4" t="s">
        <v>82</v>
      </c>
      <c r="H33" s="5"/>
      <c r="I33" s="4" t="s">
        <v>82</v>
      </c>
      <c r="J33" s="5"/>
      <c r="K33" s="4" t="s">
        <v>82</v>
      </c>
      <c r="L33" s="5"/>
      <c r="M33" s="4" t="s">
        <v>82</v>
      </c>
      <c r="N33" s="5"/>
      <c r="O33" s="4" t="s">
        <v>82</v>
      </c>
      <c r="P33" s="5"/>
      <c r="Q33" s="4" t="s">
        <v>82</v>
      </c>
      <c r="R33" s="5"/>
      <c r="S33" s="3"/>
    </row>
    <row r="34" spans="1:19" ht="28" customHeight="1">
      <c r="A34" s="23" t="s">
        <v>83</v>
      </c>
      <c r="B34" s="4" t="s">
        <v>84</v>
      </c>
      <c r="C34" s="4">
        <v>16</v>
      </c>
      <c r="D34" s="5"/>
      <c r="E34" s="4" t="s">
        <v>32</v>
      </c>
      <c r="F34" s="5"/>
      <c r="G34" s="4" t="s">
        <v>32</v>
      </c>
      <c r="H34" s="5"/>
      <c r="I34" s="4">
        <v>16</v>
      </c>
      <c r="J34" s="5"/>
      <c r="K34" s="4">
        <v>16</v>
      </c>
      <c r="L34" s="5"/>
      <c r="M34" s="4">
        <v>16</v>
      </c>
      <c r="N34" s="5"/>
      <c r="O34" s="4">
        <v>16</v>
      </c>
      <c r="P34" s="5"/>
      <c r="Q34" s="4">
        <v>16</v>
      </c>
      <c r="R34" s="5"/>
      <c r="S34" s="3"/>
    </row>
    <row r="35" spans="1:19" ht="28" customHeight="1">
      <c r="A35" s="23" t="s">
        <v>85</v>
      </c>
      <c r="B35" s="4" t="s">
        <v>86</v>
      </c>
      <c r="C35" s="4" t="s">
        <v>32</v>
      </c>
      <c r="D35" s="5"/>
      <c r="E35" s="4" t="s">
        <v>32</v>
      </c>
      <c r="F35" s="5"/>
      <c r="G35" s="4" t="s">
        <v>32</v>
      </c>
      <c r="H35" s="5"/>
      <c r="I35" s="4">
        <v>129</v>
      </c>
      <c r="J35" s="5"/>
      <c r="K35" s="4">
        <v>129</v>
      </c>
      <c r="L35" s="5"/>
      <c r="M35" s="4">
        <v>129</v>
      </c>
      <c r="N35" s="5"/>
      <c r="O35" s="4">
        <v>129</v>
      </c>
      <c r="P35" s="5"/>
      <c r="Q35" s="4">
        <v>129</v>
      </c>
      <c r="R35" s="5"/>
      <c r="S35" s="3" t="s">
        <v>87</v>
      </c>
    </row>
    <row r="36" spans="1:19" ht="28" customHeight="1">
      <c r="A36" s="23" t="s">
        <v>88</v>
      </c>
      <c r="B36" s="4" t="s">
        <v>89</v>
      </c>
      <c r="C36" s="4" t="s">
        <v>90</v>
      </c>
      <c r="D36" s="5"/>
      <c r="E36" s="4" t="s">
        <v>91</v>
      </c>
      <c r="F36" s="5"/>
      <c r="G36" s="4" t="s">
        <v>32</v>
      </c>
      <c r="H36" s="5"/>
      <c r="I36" s="4">
        <v>800</v>
      </c>
      <c r="J36" s="5"/>
      <c r="K36" s="4">
        <v>800</v>
      </c>
      <c r="L36" s="5"/>
      <c r="M36" s="4">
        <v>800</v>
      </c>
      <c r="N36" s="5"/>
      <c r="O36" s="4">
        <v>800</v>
      </c>
      <c r="P36" s="5"/>
      <c r="Q36" s="4">
        <v>800</v>
      </c>
      <c r="R36" s="5"/>
      <c r="S36" s="3"/>
    </row>
    <row r="37" spans="1:19" ht="28" customHeight="1">
      <c r="A37" s="23" t="s">
        <v>92</v>
      </c>
      <c r="B37" s="4" t="s">
        <v>93</v>
      </c>
      <c r="C37" s="4" t="s">
        <v>94</v>
      </c>
      <c r="D37" s="5"/>
      <c r="E37" s="4" t="s">
        <v>32</v>
      </c>
      <c r="F37" s="5"/>
      <c r="G37" s="4" t="s">
        <v>32</v>
      </c>
      <c r="H37" s="5"/>
      <c r="I37" s="4" t="s">
        <v>32</v>
      </c>
      <c r="J37" s="5"/>
      <c r="K37" s="4">
        <v>1024</v>
      </c>
      <c r="L37" s="5"/>
      <c r="M37" s="4">
        <v>1024</v>
      </c>
      <c r="N37" s="5"/>
      <c r="O37" s="4">
        <v>1024</v>
      </c>
      <c r="P37" s="5"/>
      <c r="Q37" s="4">
        <v>1024</v>
      </c>
      <c r="R37" s="5"/>
      <c r="S37" s="3"/>
    </row>
    <row r="38" spans="1:19" ht="28" customHeight="1">
      <c r="A38" s="23" t="s">
        <v>95</v>
      </c>
      <c r="B38" s="4"/>
      <c r="C38" s="4" t="s">
        <v>96</v>
      </c>
      <c r="D38" s="5"/>
      <c r="E38" s="4" t="s">
        <v>97</v>
      </c>
      <c r="F38" s="5"/>
      <c r="G38" s="4" t="s">
        <v>32</v>
      </c>
      <c r="H38" s="5"/>
      <c r="I38" s="4" t="s">
        <v>82</v>
      </c>
      <c r="J38" s="5"/>
      <c r="K38" s="4" t="s">
        <v>98</v>
      </c>
      <c r="L38" s="5"/>
      <c r="M38" s="4" t="s">
        <v>98</v>
      </c>
      <c r="N38" s="5"/>
      <c r="O38" s="4" t="s">
        <v>82</v>
      </c>
      <c r="P38" s="5"/>
      <c r="Q38" s="4" t="s">
        <v>82</v>
      </c>
      <c r="R38" s="5"/>
      <c r="S38" s="3"/>
    </row>
    <row r="39" spans="1:19" ht="28" customHeight="1">
      <c r="A39" s="23" t="s">
        <v>99</v>
      </c>
      <c r="B39" s="4"/>
      <c r="C39" s="4" t="s">
        <v>32</v>
      </c>
      <c r="D39" s="5"/>
      <c r="E39" s="4" t="s">
        <v>82</v>
      </c>
      <c r="F39" s="5"/>
      <c r="G39" s="4" t="s">
        <v>32</v>
      </c>
      <c r="H39" s="5"/>
      <c r="I39" s="4" t="s">
        <v>32</v>
      </c>
      <c r="J39" s="5"/>
      <c r="K39" s="4" t="s">
        <v>32</v>
      </c>
      <c r="L39" s="5"/>
      <c r="M39" s="4" t="s">
        <v>32</v>
      </c>
      <c r="N39" s="5"/>
      <c r="O39" s="4" t="s">
        <v>32</v>
      </c>
      <c r="P39" s="5"/>
      <c r="Q39" s="4" t="s">
        <v>32</v>
      </c>
      <c r="R39" s="5"/>
      <c r="S39" s="3"/>
    </row>
    <row r="40" spans="1:19" ht="28" customHeight="1">
      <c r="A40" s="23" t="s">
        <v>100</v>
      </c>
      <c r="B40" s="4"/>
      <c r="C40" s="4" t="s">
        <v>82</v>
      </c>
      <c r="D40" s="5"/>
      <c r="E40" s="4" t="s">
        <v>82</v>
      </c>
      <c r="F40" s="5"/>
      <c r="G40" s="4" t="s">
        <v>32</v>
      </c>
      <c r="H40" s="5"/>
      <c r="I40" s="4" t="s">
        <v>82</v>
      </c>
      <c r="J40" s="5"/>
      <c r="K40" s="4" t="s">
        <v>98</v>
      </c>
      <c r="L40" s="5"/>
      <c r="M40" s="4" t="s">
        <v>98</v>
      </c>
      <c r="N40" s="5"/>
      <c r="O40" s="4" t="s">
        <v>82</v>
      </c>
      <c r="P40" s="5"/>
      <c r="Q40" s="4" t="s">
        <v>82</v>
      </c>
      <c r="R40" s="5"/>
      <c r="S40" s="3"/>
    </row>
    <row r="41" spans="1:19" ht="28" customHeight="1">
      <c r="A41" s="23" t="s">
        <v>101</v>
      </c>
      <c r="B41" s="4"/>
      <c r="C41" s="4" t="s">
        <v>82</v>
      </c>
      <c r="D41" s="5"/>
      <c r="E41" s="4" t="s">
        <v>32</v>
      </c>
      <c r="F41" s="5"/>
      <c r="G41" s="4" t="s">
        <v>32</v>
      </c>
      <c r="H41" s="5"/>
      <c r="I41" s="4" t="s">
        <v>32</v>
      </c>
      <c r="J41" s="5"/>
      <c r="K41" s="4" t="s">
        <v>32</v>
      </c>
      <c r="L41" s="5"/>
      <c r="M41" s="4" t="s">
        <v>32</v>
      </c>
      <c r="N41" s="5"/>
      <c r="O41" s="4" t="s">
        <v>32</v>
      </c>
      <c r="P41" s="5"/>
      <c r="Q41" s="4" t="s">
        <v>32</v>
      </c>
      <c r="R41" s="5"/>
      <c r="S41" s="3"/>
    </row>
    <row r="42" spans="1:19" ht="28" customHeight="1">
      <c r="A42" s="23" t="s">
        <v>102</v>
      </c>
      <c r="B42" s="4"/>
      <c r="C42" s="4" t="s">
        <v>82</v>
      </c>
      <c r="D42" s="5"/>
      <c r="E42" s="4" t="s">
        <v>32</v>
      </c>
      <c r="F42" s="5"/>
      <c r="G42" s="4" t="s">
        <v>32</v>
      </c>
      <c r="H42" s="5"/>
      <c r="I42" s="4" t="s">
        <v>32</v>
      </c>
      <c r="J42" s="5"/>
      <c r="K42" s="4" t="s">
        <v>32</v>
      </c>
      <c r="L42" s="5"/>
      <c r="M42" s="4" t="s">
        <v>32</v>
      </c>
      <c r="N42" s="5"/>
      <c r="O42" s="4" t="s">
        <v>32</v>
      </c>
      <c r="P42" s="5"/>
      <c r="Q42" s="4" t="s">
        <v>32</v>
      </c>
      <c r="R42" s="5"/>
      <c r="S42" s="3"/>
    </row>
    <row r="43" spans="1:19" ht="28" customHeight="1">
      <c r="A43" s="23" t="s">
        <v>103</v>
      </c>
      <c r="B43" s="4"/>
      <c r="C43" s="4" t="s">
        <v>32</v>
      </c>
      <c r="D43" s="5"/>
      <c r="E43" s="4" t="s">
        <v>32</v>
      </c>
      <c r="F43" s="5"/>
      <c r="G43" s="4" t="s">
        <v>32</v>
      </c>
      <c r="H43" s="5"/>
      <c r="I43" s="4" t="s">
        <v>32</v>
      </c>
      <c r="J43" s="5"/>
      <c r="K43" s="4" t="s">
        <v>32</v>
      </c>
      <c r="L43" s="5"/>
      <c r="M43" s="4" t="s">
        <v>32</v>
      </c>
      <c r="N43" s="5"/>
      <c r="O43" s="4" t="s">
        <v>32</v>
      </c>
      <c r="P43" s="5"/>
      <c r="Q43" s="4" t="s">
        <v>32</v>
      </c>
      <c r="R43" s="5"/>
      <c r="S43" s="3"/>
    </row>
    <row r="44" spans="1:19" ht="28" customHeight="1">
      <c r="A44" s="23" t="s">
        <v>104</v>
      </c>
      <c r="B44" s="4"/>
      <c r="C44" s="4" t="s">
        <v>32</v>
      </c>
      <c r="D44" s="5"/>
      <c r="E44" s="4" t="s">
        <v>32</v>
      </c>
      <c r="F44" s="5"/>
      <c r="G44" s="4" t="s">
        <v>32</v>
      </c>
      <c r="H44" s="5"/>
      <c r="I44" s="4" t="s">
        <v>32</v>
      </c>
      <c r="J44" s="5"/>
      <c r="K44" s="4" t="s">
        <v>32</v>
      </c>
      <c r="L44" s="5"/>
      <c r="M44" s="4" t="s">
        <v>32</v>
      </c>
      <c r="N44" s="5"/>
      <c r="O44" s="4" t="s">
        <v>32</v>
      </c>
      <c r="P44" s="5"/>
      <c r="Q44" s="4" t="s">
        <v>32</v>
      </c>
      <c r="R44" s="5"/>
      <c r="S44" s="3"/>
    </row>
    <row r="45" spans="1:19" ht="28" customHeight="1">
      <c r="A45" s="23" t="s">
        <v>105</v>
      </c>
      <c r="B45" s="4"/>
      <c r="C45" s="4" t="s">
        <v>32</v>
      </c>
      <c r="D45" s="5"/>
      <c r="E45" s="4" t="s">
        <v>32</v>
      </c>
      <c r="F45" s="5"/>
      <c r="G45" s="4" t="s">
        <v>32</v>
      </c>
      <c r="H45" s="5"/>
      <c r="I45" s="4" t="s">
        <v>32</v>
      </c>
      <c r="J45" s="5"/>
      <c r="K45" s="4" t="s">
        <v>32</v>
      </c>
      <c r="L45" s="5"/>
      <c r="M45" s="4" t="s">
        <v>32</v>
      </c>
      <c r="N45" s="5"/>
      <c r="O45" s="4" t="s">
        <v>32</v>
      </c>
      <c r="P45" s="5"/>
      <c r="Q45" s="4" t="s">
        <v>32</v>
      </c>
      <c r="R45" s="5"/>
      <c r="S45" s="3"/>
    </row>
    <row r="46" spans="1:19" ht="28" customHeight="1">
      <c r="A46" s="23" t="s">
        <v>106</v>
      </c>
      <c r="B46" s="4"/>
      <c r="C46" s="4" t="s">
        <v>32</v>
      </c>
      <c r="D46" s="5"/>
      <c r="E46" s="4" t="s">
        <v>32</v>
      </c>
      <c r="F46" s="5"/>
      <c r="G46" s="4" t="s">
        <v>32</v>
      </c>
      <c r="H46" s="5"/>
      <c r="I46" s="4" t="s">
        <v>32</v>
      </c>
      <c r="J46" s="5"/>
      <c r="K46" s="4" t="s">
        <v>32</v>
      </c>
      <c r="L46" s="5"/>
      <c r="M46" s="4" t="s">
        <v>32</v>
      </c>
      <c r="N46" s="5"/>
      <c r="O46" s="4" t="s">
        <v>32</v>
      </c>
      <c r="P46" s="5"/>
      <c r="Q46" s="4" t="s">
        <v>32</v>
      </c>
      <c r="R46" s="5"/>
      <c r="S46" s="3"/>
    </row>
    <row r="47" spans="1:19" ht="22" customHeight="1">
      <c r="A47" s="6" t="s">
        <v>107</v>
      </c>
      <c r="B47" s="6"/>
      <c r="C47" s="7"/>
      <c r="D47" s="8"/>
      <c r="E47" s="7"/>
      <c r="F47" s="8"/>
      <c r="G47" s="7"/>
      <c r="H47" s="8"/>
      <c r="I47" s="7"/>
      <c r="J47" s="8"/>
      <c r="K47" s="7"/>
      <c r="L47" s="8"/>
      <c r="M47" s="7"/>
      <c r="N47" s="8"/>
      <c r="O47" s="7"/>
      <c r="P47" s="8"/>
      <c r="Q47" s="7"/>
      <c r="R47" s="8"/>
      <c r="S47" s="6"/>
    </row>
    <row r="48" spans="1:19" ht="28" customHeight="1">
      <c r="A48" s="24" t="s">
        <v>108</v>
      </c>
      <c r="B48" s="33" t="s">
        <v>109</v>
      </c>
      <c r="C48" s="11">
        <v>66</v>
      </c>
      <c r="D48" s="12">
        <f t="shared" ref="D48:D56" si="0">IF(ISNUMBER(C48),C48*3.2/C$23,"N/S")</f>
        <v>66</v>
      </c>
      <c r="E48" s="11">
        <v>90</v>
      </c>
      <c r="F48" s="12">
        <f t="shared" ref="F48:F56" si="1">IF(ISNUMBER(E48),E48*3.2/E$23,"N/S")</f>
        <v>81.586402266288957</v>
      </c>
      <c r="G48" s="11">
        <v>403</v>
      </c>
      <c r="H48" s="12">
        <f t="shared" ref="H48:H56" si="2">IF(ISNUMBER(G48),G48*3.2/G$23,"N/S")</f>
        <v>161.20000000000002</v>
      </c>
      <c r="I48" s="11" t="s">
        <v>32</v>
      </c>
      <c r="J48" s="12" t="str">
        <f t="shared" ref="J48:J56" si="3">IF(ISNUMBER(I48),I48*3.2/I$23,"N/S")</f>
        <v>N/S</v>
      </c>
      <c r="K48" s="11" t="s">
        <v>32</v>
      </c>
      <c r="L48" s="12" t="str">
        <f t="shared" ref="L48:L56" si="4">IF(ISNUMBER(K48),K48*3.2/K$23,"N/S")</f>
        <v>N/S</v>
      </c>
      <c r="M48" s="11" t="s">
        <v>32</v>
      </c>
      <c r="N48" s="12" t="str">
        <f t="shared" ref="N48:N56" si="5">IF(ISNUMBER(M48),M48*3.2/M$23,"N/S")</f>
        <v>N/S</v>
      </c>
      <c r="O48" s="11" t="s">
        <v>32</v>
      </c>
      <c r="P48" s="12" t="str">
        <f t="shared" ref="P48:P56" si="6">IF(ISNUMBER(O48),O48*3.2/O$23,"N/S")</f>
        <v>N/S</v>
      </c>
      <c r="Q48" s="11" t="s">
        <v>32</v>
      </c>
      <c r="R48" s="12" t="str">
        <f t="shared" ref="R48:R56" si="7">IF(ISNUMBER(Q48),Q48*3.2/Q$23,"N/S")</f>
        <v>N/S</v>
      </c>
      <c r="S48" s="3" t="s">
        <v>110</v>
      </c>
    </row>
    <row r="49" spans="1:19" ht="28" customHeight="1">
      <c r="A49" s="24" t="s">
        <v>111</v>
      </c>
      <c r="B49" s="33" t="s">
        <v>109</v>
      </c>
      <c r="C49" s="11">
        <v>104</v>
      </c>
      <c r="D49" s="12">
        <f t="shared" si="0"/>
        <v>104</v>
      </c>
      <c r="E49" s="11" t="s">
        <v>32</v>
      </c>
      <c r="F49" s="12" t="str">
        <f t="shared" si="1"/>
        <v>N/S</v>
      </c>
      <c r="G49" s="11" t="s">
        <v>32</v>
      </c>
      <c r="H49" s="12" t="str">
        <f t="shared" si="2"/>
        <v>N/S</v>
      </c>
      <c r="I49" s="11">
        <v>23</v>
      </c>
      <c r="J49" s="12">
        <f t="shared" si="3"/>
        <v>23</v>
      </c>
      <c r="K49" s="11">
        <v>40</v>
      </c>
      <c r="L49" s="12">
        <f t="shared" si="4"/>
        <v>40</v>
      </c>
      <c r="M49" s="11">
        <v>61</v>
      </c>
      <c r="N49" s="12">
        <f t="shared" si="5"/>
        <v>61</v>
      </c>
      <c r="O49" s="11">
        <v>63.5</v>
      </c>
      <c r="P49" s="12">
        <f t="shared" si="6"/>
        <v>63.5</v>
      </c>
      <c r="Q49" s="11">
        <v>96.9</v>
      </c>
      <c r="R49" s="12">
        <f t="shared" si="7"/>
        <v>96.9</v>
      </c>
      <c r="S49" s="3" t="s">
        <v>110</v>
      </c>
    </row>
    <row r="50" spans="1:19" ht="49" customHeight="1">
      <c r="A50" s="24" t="s">
        <v>112</v>
      </c>
      <c r="B50" s="33" t="s">
        <v>109</v>
      </c>
      <c r="C50" s="11">
        <v>130</v>
      </c>
      <c r="D50" s="12">
        <f t="shared" si="0"/>
        <v>130</v>
      </c>
      <c r="E50" s="11">
        <v>180</v>
      </c>
      <c r="F50" s="12">
        <f t="shared" si="1"/>
        <v>163.17280453257791</v>
      </c>
      <c r="G50" s="11">
        <v>635</v>
      </c>
      <c r="H50" s="12">
        <f t="shared" si="2"/>
        <v>254</v>
      </c>
      <c r="I50" s="11">
        <v>30</v>
      </c>
      <c r="J50" s="12">
        <f t="shared" si="3"/>
        <v>30</v>
      </c>
      <c r="K50" s="11">
        <v>54</v>
      </c>
      <c r="L50" s="12">
        <f t="shared" si="4"/>
        <v>54</v>
      </c>
      <c r="M50" s="11">
        <v>83</v>
      </c>
      <c r="N50" s="12">
        <f t="shared" si="5"/>
        <v>83</v>
      </c>
      <c r="O50" s="11">
        <v>79.400000000000006</v>
      </c>
      <c r="P50" s="12">
        <f t="shared" si="6"/>
        <v>79.400000000000006</v>
      </c>
      <c r="Q50" s="11">
        <v>118.2</v>
      </c>
      <c r="R50" s="12">
        <f t="shared" si="7"/>
        <v>118.2</v>
      </c>
      <c r="S50" s="3" t="s">
        <v>110</v>
      </c>
    </row>
    <row r="51" spans="1:19" ht="28" customHeight="1">
      <c r="A51" s="25" t="s">
        <v>113</v>
      </c>
      <c r="B51" s="34" t="s">
        <v>109</v>
      </c>
      <c r="C51" s="13">
        <v>240</v>
      </c>
      <c r="D51" s="14">
        <f t="shared" si="0"/>
        <v>240</v>
      </c>
      <c r="E51" s="13">
        <v>330</v>
      </c>
      <c r="F51" s="14">
        <f t="shared" si="1"/>
        <v>299.1501416430595</v>
      </c>
      <c r="G51" s="13" t="s">
        <v>32</v>
      </c>
      <c r="H51" s="14" t="str">
        <f t="shared" si="2"/>
        <v>N/S</v>
      </c>
      <c r="I51" s="13" t="s">
        <v>32</v>
      </c>
      <c r="J51" s="14" t="str">
        <f t="shared" si="3"/>
        <v>N/S</v>
      </c>
      <c r="K51" s="13" t="s">
        <v>32</v>
      </c>
      <c r="L51" s="14" t="str">
        <f t="shared" si="4"/>
        <v>N/S</v>
      </c>
      <c r="M51" s="13" t="s">
        <v>32</v>
      </c>
      <c r="N51" s="14" t="str">
        <f t="shared" si="5"/>
        <v>N/S</v>
      </c>
      <c r="O51" s="13" t="s">
        <v>32</v>
      </c>
      <c r="P51" s="14" t="str">
        <f t="shared" si="6"/>
        <v>N/S</v>
      </c>
      <c r="Q51" s="13" t="s">
        <v>32</v>
      </c>
      <c r="R51" s="14" t="str">
        <f t="shared" si="7"/>
        <v>N/S</v>
      </c>
      <c r="S51" s="3" t="s">
        <v>110</v>
      </c>
    </row>
    <row r="52" spans="1:19" ht="28" customHeight="1">
      <c r="A52" s="25" t="s">
        <v>114</v>
      </c>
      <c r="B52" s="34" t="s">
        <v>109</v>
      </c>
      <c r="C52" s="13">
        <v>391</v>
      </c>
      <c r="D52" s="14">
        <f t="shared" si="0"/>
        <v>391</v>
      </c>
      <c r="E52" s="13" t="s">
        <v>32</v>
      </c>
      <c r="F52" s="14" t="str">
        <f t="shared" si="1"/>
        <v>N/S</v>
      </c>
      <c r="G52" s="13" t="s">
        <v>32</v>
      </c>
      <c r="H52" s="14" t="str">
        <f t="shared" si="2"/>
        <v>N/S</v>
      </c>
      <c r="I52" s="13">
        <v>55</v>
      </c>
      <c r="J52" s="14">
        <f t="shared" si="3"/>
        <v>55</v>
      </c>
      <c r="K52" s="13">
        <v>144</v>
      </c>
      <c r="L52" s="14">
        <f t="shared" si="4"/>
        <v>144</v>
      </c>
      <c r="M52" s="13">
        <v>277</v>
      </c>
      <c r="N52" s="14">
        <f t="shared" si="5"/>
        <v>277</v>
      </c>
      <c r="O52" s="13">
        <v>284.8</v>
      </c>
      <c r="P52" s="14">
        <f t="shared" si="6"/>
        <v>284.8</v>
      </c>
      <c r="Q52" s="13">
        <v>355</v>
      </c>
      <c r="R52" s="14">
        <f t="shared" si="7"/>
        <v>355</v>
      </c>
      <c r="S52" s="3" t="s">
        <v>110</v>
      </c>
    </row>
    <row r="53" spans="1:19" ht="28" customHeight="1">
      <c r="A53" s="25" t="s">
        <v>115</v>
      </c>
      <c r="B53" s="34" t="s">
        <v>109</v>
      </c>
      <c r="C53" s="13">
        <v>489</v>
      </c>
      <c r="D53" s="14">
        <f t="shared" si="0"/>
        <v>489.00000000000006</v>
      </c>
      <c r="E53" s="13">
        <v>600</v>
      </c>
      <c r="F53" s="14">
        <f t="shared" si="1"/>
        <v>543.90934844192634</v>
      </c>
      <c r="G53" s="13" t="s">
        <v>32</v>
      </c>
      <c r="H53" s="14" t="str">
        <f t="shared" si="2"/>
        <v>N/S</v>
      </c>
      <c r="I53" s="13">
        <v>70</v>
      </c>
      <c r="J53" s="14">
        <f t="shared" si="3"/>
        <v>70</v>
      </c>
      <c r="K53" s="13">
        <v>195</v>
      </c>
      <c r="L53" s="14">
        <f t="shared" si="4"/>
        <v>195</v>
      </c>
      <c r="M53" s="13">
        <v>375</v>
      </c>
      <c r="N53" s="14">
        <f t="shared" si="5"/>
        <v>375</v>
      </c>
      <c r="O53" s="13">
        <v>356.1</v>
      </c>
      <c r="P53" s="14">
        <f t="shared" si="6"/>
        <v>356.1</v>
      </c>
      <c r="Q53" s="13">
        <v>433</v>
      </c>
      <c r="R53" s="14">
        <f t="shared" si="7"/>
        <v>433</v>
      </c>
      <c r="S53" s="3" t="s">
        <v>110</v>
      </c>
    </row>
    <row r="54" spans="1:19" ht="28" customHeight="1">
      <c r="A54" s="26" t="s">
        <v>116</v>
      </c>
      <c r="B54" s="35" t="s">
        <v>109</v>
      </c>
      <c r="C54" s="15">
        <v>50</v>
      </c>
      <c r="D54" s="16">
        <f t="shared" si="0"/>
        <v>50</v>
      </c>
      <c r="E54" s="15">
        <v>70</v>
      </c>
      <c r="F54" s="16">
        <f t="shared" si="1"/>
        <v>63.456090651558078</v>
      </c>
      <c r="G54" s="15" t="s">
        <v>32</v>
      </c>
      <c r="H54" s="16" t="str">
        <f t="shared" si="2"/>
        <v>N/S</v>
      </c>
      <c r="I54" s="15" t="s">
        <v>32</v>
      </c>
      <c r="J54" s="16" t="str">
        <f t="shared" si="3"/>
        <v>N/S</v>
      </c>
      <c r="K54" s="15" t="s">
        <v>32</v>
      </c>
      <c r="L54" s="16" t="str">
        <f t="shared" si="4"/>
        <v>N/S</v>
      </c>
      <c r="M54" s="15" t="s">
        <v>32</v>
      </c>
      <c r="N54" s="16" t="str">
        <f t="shared" si="5"/>
        <v>N/S</v>
      </c>
      <c r="O54" s="15" t="s">
        <v>32</v>
      </c>
      <c r="P54" s="16" t="str">
        <f t="shared" si="6"/>
        <v>N/S</v>
      </c>
      <c r="Q54" s="15" t="s">
        <v>32</v>
      </c>
      <c r="R54" s="16" t="str">
        <f t="shared" si="7"/>
        <v>N/S</v>
      </c>
      <c r="S54" s="3" t="s">
        <v>110</v>
      </c>
    </row>
    <row r="55" spans="1:19" ht="28" customHeight="1">
      <c r="A55" s="26" t="s">
        <v>117</v>
      </c>
      <c r="B55" s="35" t="s">
        <v>109</v>
      </c>
      <c r="C55" s="15">
        <v>80</v>
      </c>
      <c r="D55" s="16">
        <f t="shared" si="0"/>
        <v>80</v>
      </c>
      <c r="E55" s="15" t="s">
        <v>32</v>
      </c>
      <c r="F55" s="16" t="str">
        <f t="shared" si="1"/>
        <v>N/S</v>
      </c>
      <c r="G55" s="15" t="s">
        <v>32</v>
      </c>
      <c r="H55" s="16" t="str">
        <f t="shared" si="2"/>
        <v>N/S</v>
      </c>
      <c r="I55" s="15">
        <v>10</v>
      </c>
      <c r="J55" s="16">
        <f t="shared" si="3"/>
        <v>10</v>
      </c>
      <c r="K55" s="15">
        <v>25</v>
      </c>
      <c r="L55" s="16">
        <f t="shared" si="4"/>
        <v>25</v>
      </c>
      <c r="M55" s="15">
        <v>53</v>
      </c>
      <c r="N55" s="16">
        <f t="shared" si="5"/>
        <v>53.000000000000007</v>
      </c>
      <c r="O55" s="15">
        <v>56.6</v>
      </c>
      <c r="P55" s="16">
        <f t="shared" si="6"/>
        <v>56.6</v>
      </c>
      <c r="Q55" s="15">
        <v>64.5</v>
      </c>
      <c r="R55" s="16">
        <f t="shared" si="7"/>
        <v>64.5</v>
      </c>
      <c r="S55" s="3" t="s">
        <v>110</v>
      </c>
    </row>
    <row r="56" spans="1:19" ht="28" customHeight="1">
      <c r="A56" s="26" t="s">
        <v>118</v>
      </c>
      <c r="B56" s="35" t="s">
        <v>109</v>
      </c>
      <c r="C56" s="15">
        <v>100</v>
      </c>
      <c r="D56" s="16">
        <f t="shared" si="0"/>
        <v>100</v>
      </c>
      <c r="E56" s="15">
        <v>125</v>
      </c>
      <c r="F56" s="16">
        <f t="shared" si="1"/>
        <v>113.31444759206799</v>
      </c>
      <c r="G56" s="15" t="s">
        <v>32</v>
      </c>
      <c r="H56" s="16" t="str">
        <f t="shared" si="2"/>
        <v>N/S</v>
      </c>
      <c r="I56" s="15">
        <v>18</v>
      </c>
      <c r="J56" s="16">
        <f t="shared" si="3"/>
        <v>18</v>
      </c>
      <c r="K56" s="15">
        <v>34</v>
      </c>
      <c r="L56" s="16">
        <f t="shared" si="4"/>
        <v>34</v>
      </c>
      <c r="M56" s="15">
        <v>72</v>
      </c>
      <c r="N56" s="16">
        <f t="shared" si="5"/>
        <v>72</v>
      </c>
      <c r="O56" s="15">
        <v>70.8</v>
      </c>
      <c r="P56" s="16">
        <f t="shared" si="6"/>
        <v>70.8</v>
      </c>
      <c r="Q56" s="15">
        <v>78.7</v>
      </c>
      <c r="R56" s="16">
        <f t="shared" si="7"/>
        <v>78.7</v>
      </c>
      <c r="S56" s="3" t="s">
        <v>110</v>
      </c>
    </row>
    <row r="57" spans="1:19" ht="28" customHeight="1">
      <c r="A57" s="23" t="s">
        <v>119</v>
      </c>
      <c r="B57" s="4" t="s">
        <v>120</v>
      </c>
      <c r="C57" s="4">
        <v>620</v>
      </c>
      <c r="D57" s="5"/>
      <c r="E57" s="4" t="s">
        <v>121</v>
      </c>
      <c r="F57" s="5"/>
      <c r="G57" s="4" t="s">
        <v>32</v>
      </c>
      <c r="H57" s="5"/>
      <c r="I57" s="4" t="s">
        <v>32</v>
      </c>
      <c r="J57" s="5"/>
      <c r="K57" s="4" t="s">
        <v>32</v>
      </c>
      <c r="L57" s="5"/>
      <c r="M57" s="4" t="s">
        <v>32</v>
      </c>
      <c r="N57" s="5"/>
      <c r="O57" s="4" t="s">
        <v>32</v>
      </c>
      <c r="P57" s="5"/>
      <c r="Q57" s="4" t="s">
        <v>32</v>
      </c>
      <c r="R57" s="5"/>
      <c r="S57" s="3"/>
    </row>
    <row r="58" spans="1:19" ht="28" customHeight="1">
      <c r="A58" s="23" t="s">
        <v>122</v>
      </c>
      <c r="B58" s="4" t="s">
        <v>120</v>
      </c>
      <c r="C58" s="4">
        <v>526</v>
      </c>
      <c r="D58" s="5"/>
      <c r="E58" s="4" t="s">
        <v>123</v>
      </c>
      <c r="F58" s="5"/>
      <c r="G58" s="4" t="s">
        <v>32</v>
      </c>
      <c r="H58" s="5"/>
      <c r="I58" s="4" t="s">
        <v>32</v>
      </c>
      <c r="J58" s="5"/>
      <c r="K58" s="4" t="s">
        <v>32</v>
      </c>
      <c r="L58" s="5"/>
      <c r="M58" s="4" t="s">
        <v>32</v>
      </c>
      <c r="N58" s="5"/>
      <c r="O58" s="4" t="s">
        <v>32</v>
      </c>
      <c r="P58" s="5"/>
      <c r="Q58" s="4" t="s">
        <v>32</v>
      </c>
      <c r="R58" s="5"/>
      <c r="S58" s="3"/>
    </row>
    <row r="59" spans="1:19" ht="28" customHeight="1">
      <c r="A59" s="23" t="s">
        <v>124</v>
      </c>
      <c r="B59" s="4" t="s">
        <v>120</v>
      </c>
      <c r="C59" s="4">
        <v>471</v>
      </c>
      <c r="D59" s="5"/>
      <c r="E59" s="4" t="s">
        <v>125</v>
      </c>
      <c r="F59" s="5"/>
      <c r="G59" s="4" t="s">
        <v>32</v>
      </c>
      <c r="H59" s="5"/>
      <c r="I59" s="4" t="s">
        <v>32</v>
      </c>
      <c r="J59" s="5"/>
      <c r="K59" s="4" t="s">
        <v>32</v>
      </c>
      <c r="L59" s="5"/>
      <c r="M59" s="4" t="s">
        <v>32</v>
      </c>
      <c r="N59" s="5"/>
      <c r="O59" s="4" t="s">
        <v>32</v>
      </c>
      <c r="P59" s="5"/>
      <c r="Q59" s="4" t="s">
        <v>32</v>
      </c>
      <c r="R59" s="5"/>
      <c r="S59" s="3"/>
    </row>
    <row r="60" spans="1:19" ht="28" customHeight="1">
      <c r="A60" s="23" t="s">
        <v>126</v>
      </c>
      <c r="B60" s="4" t="s">
        <v>47</v>
      </c>
      <c r="C60" s="4">
        <v>2.1</v>
      </c>
      <c r="D60" s="5"/>
      <c r="E60" s="4" t="s">
        <v>32</v>
      </c>
      <c r="F60" s="5"/>
      <c r="G60" s="4" t="s">
        <v>32</v>
      </c>
      <c r="H60" s="5"/>
      <c r="I60" s="4">
        <v>2</v>
      </c>
      <c r="J60" s="5"/>
      <c r="K60" s="4">
        <v>2.1</v>
      </c>
      <c r="L60" s="5"/>
      <c r="M60" s="4">
        <v>2.1</v>
      </c>
      <c r="N60" s="5"/>
      <c r="O60" s="4">
        <v>2.1</v>
      </c>
      <c r="P60" s="5"/>
      <c r="Q60" s="4">
        <v>2.1</v>
      </c>
      <c r="R60" s="5"/>
      <c r="S60" s="3"/>
    </row>
    <row r="61" spans="1:19" ht="28" customHeight="1">
      <c r="A61" s="23" t="s">
        <v>127</v>
      </c>
      <c r="B61" s="4" t="s">
        <v>47</v>
      </c>
      <c r="C61" s="4">
        <v>2.8</v>
      </c>
      <c r="D61" s="5"/>
      <c r="E61" s="4" t="s">
        <v>32</v>
      </c>
      <c r="F61" s="5"/>
      <c r="G61" s="4" t="s">
        <v>32</v>
      </c>
      <c r="H61" s="5"/>
      <c r="I61" s="4">
        <v>2.5</v>
      </c>
      <c r="J61" s="5"/>
      <c r="K61" s="4">
        <v>2.8</v>
      </c>
      <c r="L61" s="5"/>
      <c r="M61" s="4">
        <v>2.8</v>
      </c>
      <c r="N61" s="5"/>
      <c r="O61" s="4">
        <v>2.8</v>
      </c>
      <c r="P61" s="5"/>
      <c r="Q61" s="4">
        <v>2.8</v>
      </c>
      <c r="R61" s="5"/>
      <c r="S61" s="3"/>
    </row>
    <row r="62" spans="1:19" ht="28" customHeight="1">
      <c r="A62" s="23" t="s">
        <v>128</v>
      </c>
      <c r="B62" s="4" t="s">
        <v>47</v>
      </c>
      <c r="C62" s="4">
        <v>2.8</v>
      </c>
      <c r="D62" s="5"/>
      <c r="E62" s="4" t="s">
        <v>32</v>
      </c>
      <c r="F62" s="5"/>
      <c r="G62" s="4" t="s">
        <v>32</v>
      </c>
      <c r="H62" s="5"/>
      <c r="I62" s="4">
        <v>2.6</v>
      </c>
      <c r="J62" s="5"/>
      <c r="K62" s="4">
        <v>2.8</v>
      </c>
      <c r="L62" s="5"/>
      <c r="M62" s="4">
        <v>2.8</v>
      </c>
      <c r="N62" s="5"/>
      <c r="O62" s="4">
        <v>2.8</v>
      </c>
      <c r="P62" s="5"/>
      <c r="Q62" s="4">
        <v>2.8</v>
      </c>
      <c r="R62" s="5"/>
      <c r="S62" s="3"/>
    </row>
    <row r="63" spans="1:19" ht="22" customHeight="1">
      <c r="A63" s="6" t="s">
        <v>129</v>
      </c>
      <c r="B63" s="6"/>
      <c r="C63" s="7"/>
      <c r="D63" s="8"/>
      <c r="E63" s="7"/>
      <c r="F63" s="8"/>
      <c r="G63" s="7"/>
      <c r="H63" s="8"/>
      <c r="I63" s="7"/>
      <c r="J63" s="8"/>
      <c r="K63" s="7"/>
      <c r="L63" s="8"/>
      <c r="M63" s="7"/>
      <c r="N63" s="8"/>
      <c r="O63" s="7"/>
      <c r="P63" s="8"/>
      <c r="Q63" s="7"/>
      <c r="R63" s="8"/>
      <c r="S63" s="6"/>
    </row>
    <row r="64" spans="1:19" ht="28" customHeight="1">
      <c r="A64" s="23" t="s">
        <v>130</v>
      </c>
      <c r="B64" s="4"/>
      <c r="C64" s="4" t="s">
        <v>32</v>
      </c>
      <c r="D64" s="5"/>
      <c r="E64" s="4" t="s">
        <v>131</v>
      </c>
      <c r="F64" s="5"/>
      <c r="G64" s="4" t="s">
        <v>32</v>
      </c>
      <c r="H64" s="5"/>
      <c r="I64" s="4" t="s">
        <v>32</v>
      </c>
      <c r="J64" s="5"/>
      <c r="K64" s="4" t="s">
        <v>32</v>
      </c>
      <c r="L64" s="5"/>
      <c r="M64" s="4" t="s">
        <v>32</v>
      </c>
      <c r="N64" s="5"/>
      <c r="O64" s="4" t="s">
        <v>32</v>
      </c>
      <c r="P64" s="5"/>
      <c r="Q64" s="4" t="s">
        <v>32</v>
      </c>
      <c r="R64" s="5"/>
      <c r="S64" s="3"/>
    </row>
    <row r="65" spans="1:19" ht="28" customHeight="1">
      <c r="A65" s="23" t="s">
        <v>132</v>
      </c>
      <c r="B65" s="4"/>
      <c r="C65" s="4" t="s">
        <v>32</v>
      </c>
      <c r="D65" s="5"/>
      <c r="E65" s="4" t="s">
        <v>32</v>
      </c>
      <c r="F65" s="5"/>
      <c r="G65" s="4" t="s">
        <v>32</v>
      </c>
      <c r="H65" s="5"/>
      <c r="I65" s="4" t="s">
        <v>32</v>
      </c>
      <c r="J65" s="5"/>
      <c r="K65" s="4" t="s">
        <v>32</v>
      </c>
      <c r="L65" s="5"/>
      <c r="M65" s="4" t="s">
        <v>32</v>
      </c>
      <c r="N65" s="5"/>
      <c r="O65" s="4" t="s">
        <v>32</v>
      </c>
      <c r="P65" s="5"/>
      <c r="Q65" s="4" t="s">
        <v>32</v>
      </c>
      <c r="R65" s="5"/>
      <c r="S65" s="3"/>
    </row>
    <row r="66" spans="1:19" ht="28" customHeight="1">
      <c r="A66" s="23" t="s">
        <v>133</v>
      </c>
      <c r="B66" s="4"/>
      <c r="C66" s="4" t="s">
        <v>134</v>
      </c>
      <c r="D66" s="5"/>
      <c r="E66" s="4" t="s">
        <v>135</v>
      </c>
      <c r="F66" s="5"/>
      <c r="G66" s="4" t="s">
        <v>32</v>
      </c>
      <c r="H66" s="5"/>
      <c r="I66" s="4" t="s">
        <v>32</v>
      </c>
      <c r="J66" s="5"/>
      <c r="K66" s="4" t="s">
        <v>32</v>
      </c>
      <c r="L66" s="5"/>
      <c r="M66" s="4" t="s">
        <v>32</v>
      </c>
      <c r="N66" s="5"/>
      <c r="O66" s="4" t="s">
        <v>32</v>
      </c>
      <c r="P66" s="5"/>
      <c r="Q66" s="4" t="s">
        <v>32</v>
      </c>
      <c r="R66" s="5"/>
      <c r="S66" s="3"/>
    </row>
    <row r="67" spans="1:19" ht="28" customHeight="1">
      <c r="A67" s="23" t="s">
        <v>136</v>
      </c>
      <c r="B67" s="4"/>
      <c r="C67" s="4" t="s">
        <v>32</v>
      </c>
      <c r="D67" s="5"/>
      <c r="E67" s="4" t="s">
        <v>32</v>
      </c>
      <c r="F67" s="5"/>
      <c r="G67" s="4" t="s">
        <v>32</v>
      </c>
      <c r="H67" s="5"/>
      <c r="I67" s="4" t="s">
        <v>32</v>
      </c>
      <c r="J67" s="5"/>
      <c r="K67" s="4" t="s">
        <v>32</v>
      </c>
      <c r="L67" s="5"/>
      <c r="M67" s="4" t="s">
        <v>32</v>
      </c>
      <c r="N67" s="5"/>
      <c r="O67" s="4" t="s">
        <v>32</v>
      </c>
      <c r="P67" s="5"/>
      <c r="Q67" s="4" t="s">
        <v>32</v>
      </c>
      <c r="R67" s="5"/>
      <c r="S67" s="3"/>
    </row>
    <row r="68" spans="1:19" ht="28" customHeight="1">
      <c r="A68" s="23" t="s">
        <v>137</v>
      </c>
      <c r="B68" s="4"/>
      <c r="C68" s="4" t="s">
        <v>32</v>
      </c>
      <c r="D68" s="5"/>
      <c r="E68" s="4" t="s">
        <v>32</v>
      </c>
      <c r="F68" s="5"/>
      <c r="G68" s="4" t="s">
        <v>32</v>
      </c>
      <c r="H68" s="5"/>
      <c r="I68" s="4" t="s">
        <v>32</v>
      </c>
      <c r="J68" s="5"/>
      <c r="K68" s="4" t="s">
        <v>32</v>
      </c>
      <c r="L68" s="5"/>
      <c r="M68" s="4" t="s">
        <v>32</v>
      </c>
      <c r="N68" s="5"/>
      <c r="O68" s="4" t="s">
        <v>32</v>
      </c>
      <c r="P68" s="5"/>
      <c r="Q68" s="4" t="s">
        <v>32</v>
      </c>
      <c r="R68" s="5"/>
      <c r="S68" s="3"/>
    </row>
    <row r="69" spans="1:19" ht="22" customHeight="1">
      <c r="A69" s="6" t="s">
        <v>138</v>
      </c>
      <c r="B69" s="6"/>
      <c r="C69" s="7"/>
      <c r="D69" s="8"/>
      <c r="E69" s="7"/>
      <c r="F69" s="8"/>
      <c r="G69" s="7"/>
      <c r="H69" s="8"/>
      <c r="I69" s="7"/>
      <c r="J69" s="8"/>
      <c r="K69" s="7"/>
      <c r="L69" s="8"/>
      <c r="M69" s="7"/>
      <c r="N69" s="8"/>
      <c r="O69" s="7"/>
      <c r="P69" s="8"/>
      <c r="Q69" s="7"/>
      <c r="R69" s="8"/>
      <c r="S69" s="6"/>
    </row>
    <row r="70" spans="1:19" ht="28" customHeight="1">
      <c r="A70" s="23" t="s">
        <v>139</v>
      </c>
      <c r="B70" s="4"/>
      <c r="C70" s="4" t="s">
        <v>140</v>
      </c>
      <c r="D70" s="5"/>
      <c r="E70" s="4" t="s">
        <v>141</v>
      </c>
      <c r="F70" s="5"/>
      <c r="G70" s="4" t="s">
        <v>142</v>
      </c>
      <c r="H70" s="5"/>
      <c r="I70" s="4" t="s">
        <v>143</v>
      </c>
      <c r="J70" s="5"/>
      <c r="K70" s="4" t="s">
        <v>144</v>
      </c>
      <c r="L70" s="5"/>
      <c r="M70" s="4" t="s">
        <v>145</v>
      </c>
      <c r="N70" s="5"/>
      <c r="O70" s="4" t="s">
        <v>146</v>
      </c>
      <c r="P70" s="5"/>
      <c r="Q70" s="4" t="s">
        <v>147</v>
      </c>
      <c r="R70" s="5"/>
      <c r="S70" s="3"/>
    </row>
    <row r="71" spans="1:19" ht="28" customHeight="1">
      <c r="A71" s="27" t="s">
        <v>148</v>
      </c>
      <c r="B71" s="18"/>
      <c r="C71" s="18" t="s">
        <v>149</v>
      </c>
      <c r="D71" s="19"/>
      <c r="E71" s="18" t="s">
        <v>149</v>
      </c>
      <c r="F71" s="19"/>
      <c r="G71" s="18" t="s">
        <v>149</v>
      </c>
      <c r="H71" s="19"/>
      <c r="I71" s="18" t="s">
        <v>149</v>
      </c>
      <c r="J71" s="19"/>
      <c r="K71" s="18" t="s">
        <v>149</v>
      </c>
      <c r="L71" s="19"/>
      <c r="M71" s="18" t="s">
        <v>149</v>
      </c>
      <c r="N71" s="19"/>
      <c r="O71" s="18" t="s">
        <v>149</v>
      </c>
      <c r="P71" s="19"/>
      <c r="Q71" s="18" t="s">
        <v>149</v>
      </c>
      <c r="R71" s="19"/>
      <c r="S71" s="17" t="s">
        <v>150</v>
      </c>
    </row>
  </sheetData>
  <mergeCells count="8">
    <mergeCell ref="A32:S32"/>
    <mergeCell ref="A47:S47"/>
    <mergeCell ref="A63:S63"/>
    <mergeCell ref="A69:S69"/>
    <mergeCell ref="A1:S1"/>
    <mergeCell ref="A2:S2"/>
    <mergeCell ref="A9:S9"/>
    <mergeCell ref="A17:S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eddie 徐</cp:lastModifiedBy>
  <dcterms:created xsi:type="dcterms:W3CDTF">2026-07-24T16:17:48Z</dcterms:created>
  <dcterms:modified xsi:type="dcterms:W3CDTF">2026-07-24T16:17:48Z</dcterms:modified>
</cp:coreProperties>
</file>